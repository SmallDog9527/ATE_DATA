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434" documentId="13_ncr:1_{AF87637C-36E5-4752-943B-FA3B0B8BE94F}" xr6:coauthVersionLast="47" xr6:coauthVersionMax="47" xr10:uidLastSave="{4A771A69-36D4-4A11-8928-A5CF8656958B}"/>
  <bookViews>
    <workbookView xWindow="-7200" yWindow="-21720" windowWidth="38640" windowHeight="21120" tabRatio="706" firstSheet="1" activeTab="2" xr2:uid="{00000000-000D-0000-FFFF-FFFF00000000}"/>
  </bookViews>
  <sheets>
    <sheet name="Revision History" sheetId="8" r:id="rId1"/>
    <sheet name="Datasheet vs Test Item" sheetId="15" r:id="rId2"/>
    <sheet name="Test Item" sheetId="5" r:id="rId3"/>
    <sheet name="Bin Information" sheetId="12" r:id="rId4"/>
  </sheets>
  <definedNames>
    <definedName name="_xlnm._FilterDatabase" localSheetId="2" hidden="1">'Test Item'!$A$6:$J$1214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15" l="1"/>
  <c r="K75" i="15"/>
  <c r="J75" i="15"/>
  <c r="P51" i="15"/>
  <c r="O51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J22" i="15"/>
  <c r="K22" i="15"/>
  <c r="L22" i="15"/>
  <c r="J23" i="15"/>
  <c r="K23" i="15"/>
  <c r="L23" i="15"/>
  <c r="J24" i="15"/>
  <c r="K24" i="15"/>
  <c r="L24" i="15"/>
  <c r="J25" i="15"/>
  <c r="K25" i="15"/>
  <c r="L25" i="15"/>
  <c r="J26" i="15"/>
  <c r="K26" i="15"/>
  <c r="L26" i="15"/>
  <c r="J27" i="15"/>
  <c r="K27" i="15"/>
  <c r="L27" i="15"/>
  <c r="J28" i="15"/>
  <c r="K28" i="15"/>
  <c r="L28" i="15"/>
  <c r="J29" i="15"/>
  <c r="K29" i="15"/>
  <c r="L29" i="15"/>
  <c r="J30" i="15"/>
  <c r="K30" i="15"/>
  <c r="L30" i="15"/>
  <c r="J31" i="15"/>
  <c r="K31" i="15"/>
  <c r="L31" i="15"/>
  <c r="J32" i="15"/>
  <c r="K32" i="15"/>
  <c r="L32" i="15"/>
  <c r="J33" i="15"/>
  <c r="K33" i="15"/>
  <c r="L33" i="15"/>
  <c r="J34" i="15"/>
  <c r="K34" i="15"/>
  <c r="L34" i="15"/>
  <c r="J35" i="15"/>
  <c r="K35" i="15"/>
  <c r="L35" i="15"/>
  <c r="J36" i="15"/>
  <c r="K36" i="15"/>
  <c r="L36" i="15"/>
  <c r="J37" i="15"/>
  <c r="K37" i="15"/>
  <c r="L37" i="15"/>
  <c r="J38" i="15"/>
  <c r="K38" i="15"/>
  <c r="L38" i="15"/>
  <c r="J39" i="15"/>
  <c r="K39" i="15"/>
  <c r="L39" i="15"/>
  <c r="J40" i="15"/>
  <c r="K40" i="15"/>
  <c r="L40" i="15"/>
  <c r="J41" i="15"/>
  <c r="K41" i="15"/>
  <c r="L41" i="15"/>
  <c r="J42" i="15"/>
  <c r="K42" i="15"/>
  <c r="L42" i="15"/>
  <c r="J43" i="15"/>
  <c r="K43" i="15"/>
  <c r="L43" i="15"/>
  <c r="J44" i="15"/>
  <c r="K44" i="15"/>
  <c r="L44" i="15"/>
  <c r="J45" i="15"/>
  <c r="K45" i="15"/>
  <c r="L45" i="15"/>
  <c r="J46" i="15"/>
  <c r="K46" i="15"/>
  <c r="L46" i="15"/>
  <c r="J47" i="15"/>
  <c r="K47" i="15"/>
  <c r="L47" i="15"/>
  <c r="J48" i="15"/>
  <c r="K48" i="15"/>
  <c r="L48" i="15"/>
  <c r="J49" i="15"/>
  <c r="K49" i="15"/>
  <c r="L49" i="15"/>
  <c r="J50" i="15"/>
  <c r="K50" i="15"/>
  <c r="L50" i="15"/>
  <c r="J51" i="15"/>
  <c r="K51" i="15"/>
  <c r="L51" i="15"/>
  <c r="J52" i="15"/>
  <c r="K52" i="15"/>
  <c r="L52" i="15"/>
  <c r="J53" i="15"/>
  <c r="K53" i="15"/>
  <c r="L53" i="15"/>
  <c r="J54" i="15"/>
  <c r="K54" i="15"/>
  <c r="L54" i="15"/>
  <c r="J55" i="15"/>
  <c r="K55" i="15"/>
  <c r="L55" i="15"/>
  <c r="J56" i="15"/>
  <c r="K56" i="15"/>
  <c r="L56" i="15"/>
  <c r="J57" i="15"/>
  <c r="K57" i="15"/>
  <c r="L57" i="15"/>
  <c r="J58" i="15"/>
  <c r="K58" i="15"/>
  <c r="L58" i="15"/>
  <c r="J59" i="15"/>
  <c r="K59" i="15"/>
  <c r="L59" i="15"/>
  <c r="J60" i="15"/>
  <c r="K60" i="15"/>
  <c r="L60" i="15"/>
  <c r="J61" i="15"/>
  <c r="K61" i="15"/>
  <c r="L61" i="15"/>
  <c r="J62" i="15"/>
  <c r="K62" i="15"/>
  <c r="L62" i="15"/>
  <c r="J63" i="15"/>
  <c r="K63" i="15"/>
  <c r="L63" i="15"/>
  <c r="J64" i="15"/>
  <c r="K64" i="15"/>
  <c r="L64" i="15"/>
  <c r="J65" i="15"/>
  <c r="K65" i="15"/>
  <c r="L65" i="15"/>
  <c r="J66" i="15"/>
  <c r="K66" i="15"/>
  <c r="L66" i="15"/>
  <c r="J67" i="15"/>
  <c r="K67" i="15"/>
  <c r="L67" i="15"/>
  <c r="J68" i="15"/>
  <c r="K68" i="15"/>
  <c r="L68" i="15"/>
  <c r="J69" i="15"/>
  <c r="K69" i="15"/>
  <c r="L69" i="15"/>
  <c r="J70" i="15"/>
  <c r="K70" i="15"/>
  <c r="L70" i="15"/>
  <c r="J71" i="15"/>
  <c r="K71" i="15"/>
  <c r="L71" i="15"/>
  <c r="J72" i="15"/>
  <c r="K72" i="15"/>
  <c r="L72" i="15"/>
  <c r="J73" i="15"/>
  <c r="K73" i="15"/>
  <c r="L73" i="15"/>
  <c r="J74" i="15"/>
  <c r="K74" i="15"/>
  <c r="L74" i="15"/>
  <c r="J76" i="15"/>
  <c r="K76" i="15"/>
  <c r="L76" i="15"/>
  <c r="J77" i="15"/>
  <c r="K77" i="15"/>
  <c r="L77" i="15"/>
  <c r="J78" i="15"/>
  <c r="K78" i="15"/>
  <c r="L78" i="15"/>
  <c r="J79" i="15"/>
  <c r="K79" i="15"/>
  <c r="L79" i="15"/>
  <c r="J80" i="15"/>
  <c r="K80" i="15"/>
  <c r="L80" i="15"/>
  <c r="J81" i="15"/>
  <c r="K81" i="15"/>
  <c r="L81" i="15"/>
  <c r="J82" i="15"/>
  <c r="K82" i="15"/>
  <c r="L82" i="15"/>
  <c r="J83" i="15"/>
  <c r="K83" i="15"/>
  <c r="L83" i="15"/>
  <c r="J84" i="15"/>
  <c r="K84" i="15"/>
  <c r="L84" i="15"/>
  <c r="J85" i="15"/>
  <c r="K85" i="15"/>
  <c r="L85" i="15"/>
  <c r="J86" i="15"/>
  <c r="K86" i="15"/>
  <c r="L86" i="15"/>
  <c r="J87" i="15"/>
  <c r="K87" i="15"/>
  <c r="L87" i="15"/>
  <c r="J88" i="15"/>
  <c r="K88" i="15"/>
  <c r="L88" i="15"/>
  <c r="J89" i="15"/>
  <c r="K89" i="15"/>
  <c r="L89" i="15"/>
  <c r="J90" i="15"/>
  <c r="K90" i="15"/>
  <c r="L90" i="15"/>
  <c r="J91" i="15"/>
  <c r="K91" i="15"/>
  <c r="L91" i="15"/>
  <c r="J92" i="15"/>
  <c r="K92" i="15"/>
  <c r="L92" i="15"/>
  <c r="J93" i="15"/>
  <c r="K93" i="15"/>
  <c r="L93" i="15"/>
  <c r="J94" i="15"/>
  <c r="K94" i="15"/>
  <c r="L94" i="15"/>
  <c r="J95" i="15"/>
  <c r="K95" i="15"/>
  <c r="L95" i="15"/>
  <c r="J96" i="15"/>
  <c r="K96" i="15"/>
  <c r="L96" i="15"/>
  <c r="J97" i="15"/>
  <c r="K97" i="15"/>
  <c r="L97" i="15"/>
  <c r="J98" i="15"/>
  <c r="K98" i="15"/>
  <c r="L98" i="15"/>
  <c r="J99" i="15"/>
  <c r="K99" i="15"/>
  <c r="L99" i="15"/>
  <c r="J100" i="15"/>
  <c r="K100" i="15"/>
  <c r="L100" i="15"/>
  <c r="J101" i="15"/>
  <c r="K101" i="15"/>
  <c r="L101" i="15"/>
  <c r="J102" i="15"/>
  <c r="K102" i="15"/>
  <c r="L102" i="15"/>
  <c r="J103" i="15"/>
  <c r="K103" i="15"/>
  <c r="L103" i="15"/>
  <c r="J104" i="15"/>
  <c r="K104" i="15"/>
  <c r="L104" i="15"/>
  <c r="J105" i="15"/>
  <c r="K105" i="15"/>
  <c r="L105" i="15"/>
  <c r="J106" i="15"/>
  <c r="K106" i="15"/>
  <c r="L106" i="15"/>
  <c r="J107" i="15"/>
  <c r="K107" i="15"/>
  <c r="L107" i="15"/>
  <c r="J108" i="15"/>
  <c r="K108" i="15"/>
  <c r="L108" i="15"/>
  <c r="J109" i="15"/>
  <c r="K109" i="15"/>
  <c r="L109" i="15"/>
  <c r="J110" i="15"/>
  <c r="K110" i="15"/>
  <c r="L110" i="15"/>
  <c r="J111" i="15"/>
  <c r="K111" i="15"/>
  <c r="L111" i="15"/>
  <c r="J112" i="15"/>
  <c r="K112" i="15"/>
  <c r="L112" i="15"/>
  <c r="J113" i="15"/>
  <c r="K113" i="15"/>
  <c r="L113" i="15"/>
  <c r="J114" i="15"/>
  <c r="K114" i="15"/>
  <c r="L114" i="15"/>
  <c r="J115" i="15"/>
  <c r="K115" i="15"/>
  <c r="L115" i="15"/>
  <c r="J116" i="15"/>
  <c r="K116" i="15"/>
  <c r="L116" i="15"/>
  <c r="J117" i="15"/>
  <c r="K117" i="15"/>
  <c r="L117" i="15"/>
  <c r="J118" i="15"/>
  <c r="K118" i="15"/>
  <c r="L118" i="15"/>
  <c r="J119" i="15"/>
  <c r="K119" i="15"/>
  <c r="L119" i="15"/>
  <c r="J120" i="15"/>
  <c r="K120" i="15"/>
  <c r="L120" i="15"/>
  <c r="J121" i="15"/>
  <c r="K121" i="15"/>
  <c r="L121" i="15"/>
  <c r="J122" i="15"/>
  <c r="K122" i="15"/>
  <c r="L122" i="15"/>
  <c r="J123" i="15"/>
  <c r="K123" i="15"/>
  <c r="L123" i="15"/>
  <c r="J124" i="15"/>
  <c r="K124" i="15"/>
  <c r="L124" i="15"/>
  <c r="J125" i="15"/>
  <c r="K125" i="15"/>
  <c r="L125" i="15"/>
  <c r="J126" i="15"/>
  <c r="K126" i="15"/>
  <c r="L126" i="15"/>
  <c r="J127" i="15"/>
  <c r="K127" i="15"/>
  <c r="L127" i="15"/>
  <c r="J128" i="15"/>
  <c r="K128" i="15"/>
  <c r="L128" i="15"/>
  <c r="J129" i="15"/>
  <c r="K129" i="15"/>
  <c r="L129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L6" i="15"/>
  <c r="K6" i="15"/>
  <c r="J6" i="15"/>
  <c r="A8" i="5"/>
  <c r="O104" i="15"/>
  <c r="N104" i="15"/>
  <c r="O103" i="15"/>
  <c r="N103" i="15"/>
  <c r="O102" i="15"/>
  <c r="N102" i="15"/>
  <c r="O101" i="15"/>
  <c r="N101" i="15"/>
  <c r="O95" i="15"/>
  <c r="N95" i="15"/>
  <c r="O94" i="15"/>
  <c r="N94" i="15"/>
  <c r="O68" i="15"/>
  <c r="N68" i="15"/>
  <c r="O63" i="15"/>
  <c r="N63" i="15"/>
  <c r="O62" i="15"/>
  <c r="N62" i="15"/>
  <c r="O61" i="15"/>
  <c r="N61" i="15"/>
  <c r="N40" i="15"/>
  <c r="N39" i="15"/>
  <c r="O24" i="15"/>
  <c r="N24" i="15"/>
  <c r="O23" i="15"/>
  <c r="N23" i="15"/>
  <c r="P52" i="15"/>
  <c r="O52" i="15"/>
  <c r="A9" i="5" l="1"/>
  <c r="A10" i="5" l="1"/>
  <c r="A11" i="5" l="1"/>
  <c r="A12" i="5" l="1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l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l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l="1"/>
  <c r="A283" i="5" s="1"/>
  <c r="A284" i="5" l="1"/>
  <c r="A285" i="5" l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</calcChain>
</file>

<file path=xl/sharedStrings.xml><?xml version="1.0" encoding="utf-8"?>
<sst xmlns="http://schemas.openxmlformats.org/spreadsheetml/2006/main" count="3161" uniqueCount="1663">
  <si>
    <t>Version</t>
    <phoneticPr fontId="1" type="noConversion"/>
  </si>
  <si>
    <t>Release Date</t>
    <phoneticPr fontId="1" type="noConversion"/>
  </si>
  <si>
    <t>Description of Modification</t>
    <phoneticPr fontId="1" type="noConversion"/>
  </si>
  <si>
    <t>Y</t>
    <phoneticPr fontId="3" type="noConversion"/>
  </si>
  <si>
    <t>Symbol</t>
  </si>
  <si>
    <t>Max</t>
  </si>
  <si>
    <t>Unit</t>
  </si>
  <si>
    <t>Unit</t>
    <phoneticPr fontId="1" type="noConversion"/>
  </si>
  <si>
    <t>V</t>
  </si>
  <si>
    <t>MHz</t>
  </si>
  <si>
    <t>Test NO.</t>
    <phoneticPr fontId="3" type="noConversion"/>
  </si>
  <si>
    <t>Sub item</t>
    <phoneticPr fontId="3" type="noConversion"/>
  </si>
  <si>
    <t>Test Name</t>
    <phoneticPr fontId="3" type="noConversion"/>
  </si>
  <si>
    <t>Lo</t>
    <phoneticPr fontId="3" type="noConversion"/>
  </si>
  <si>
    <t>Hi</t>
    <phoneticPr fontId="3" type="noConversion"/>
  </si>
  <si>
    <t>LSB</t>
    <phoneticPr fontId="3" type="noConversion"/>
  </si>
  <si>
    <t>HSB</t>
    <phoneticPr fontId="3" type="noConversion"/>
  </si>
  <si>
    <t>mA</t>
  </si>
  <si>
    <t>uA</t>
  </si>
  <si>
    <t>SW Bin</t>
  </si>
  <si>
    <t>HW Bin</t>
  </si>
  <si>
    <t>P/F/A</t>
  </si>
  <si>
    <t>Description</t>
  </si>
  <si>
    <t>SBL Control</t>
    <phoneticPr fontId="3" type="noConversion"/>
  </si>
  <si>
    <t xml:space="preserve"> Halo Microelectronics Co., Ltd.                                                     HL-TE-B10-R02 V05</t>
    <phoneticPr fontId="3" type="noConversion"/>
  </si>
  <si>
    <t xml:space="preserve">                Halo Microelectronics Co., Ltd.                                               HL-TE-B10-R02 V05</t>
    <phoneticPr fontId="3" type="noConversion"/>
  </si>
  <si>
    <t xml:space="preserve">                                                                 Halo Microelectronics Co., Ltd.                                                                                            HL-TE-B10-R02 V05</t>
    <phoneticPr fontId="3" type="noConversion"/>
  </si>
  <si>
    <t xml:space="preserve">                                     Halo Microelectronics Co., Ltd.                             HL-TE-B10-R02 V05</t>
    <phoneticPr fontId="3" type="noConversion"/>
  </si>
  <si>
    <t>OS_SCL</t>
  </si>
  <si>
    <t>OS_SDA</t>
  </si>
  <si>
    <t>P2P_SCL</t>
  </si>
  <si>
    <t>P2P_SDA</t>
  </si>
  <si>
    <t>%</t>
  </si>
  <si>
    <t>mV</t>
  </si>
  <si>
    <t>Datasheet</t>
    <phoneticPr fontId="3" type="noConversion"/>
  </si>
  <si>
    <t>Symbol</t>
    <phoneticPr fontId="1" type="noConversion"/>
  </si>
  <si>
    <t>Min</t>
    <phoneticPr fontId="3" type="noConversion"/>
  </si>
  <si>
    <t>Max</t>
    <phoneticPr fontId="3" type="noConversion"/>
  </si>
  <si>
    <r>
      <rPr>
        <b/>
        <sz val="11"/>
        <rFont val="微软雅黑"/>
        <family val="2"/>
        <charset val="134"/>
      </rPr>
      <t xml:space="preserve">测试程序释放产线时间
</t>
    </r>
    <r>
      <rPr>
        <b/>
        <sz val="10"/>
        <rFont val="Arial"/>
        <family val="2"/>
      </rPr>
      <t>(YY/MM/DD of ATE program released)</t>
    </r>
    <phoneticPr fontId="3" type="noConversion"/>
  </si>
  <si>
    <r>
      <rPr>
        <b/>
        <sz val="11"/>
        <rFont val="微软雅黑"/>
        <family val="2"/>
        <charset val="134"/>
      </rPr>
      <t>测试程序名称</t>
    </r>
    <r>
      <rPr>
        <b/>
        <sz val="11"/>
        <rFont val="Arial"/>
        <family val="2"/>
      </rPr>
      <t xml:space="preserve"> 
</t>
    </r>
    <r>
      <rPr>
        <b/>
        <sz val="10"/>
        <rFont val="Arial"/>
        <family val="2"/>
      </rPr>
      <t>(ATE test program)</t>
    </r>
    <phoneticPr fontId="3" type="noConversion"/>
  </si>
  <si>
    <t>ATE Test Spec</t>
    <phoneticPr fontId="3" type="noConversion"/>
  </si>
  <si>
    <t>DB</t>
  </si>
  <si>
    <t>Ohm</t>
  </si>
  <si>
    <t>OS_SHORT</t>
  </si>
  <si>
    <t>OS_SOME_OPEN</t>
  </si>
  <si>
    <t>OS_ALL_OPEN</t>
  </si>
  <si>
    <t>OS_VDDIO</t>
  </si>
  <si>
    <t>P2P_VDDIO</t>
  </si>
  <si>
    <t>AMR_PRE_VDDIO</t>
  </si>
  <si>
    <t>AMR_VDDIO</t>
  </si>
  <si>
    <t>TRIM_VBG_PRE</t>
  </si>
  <si>
    <t>TRIM_VBG_PRE_BIT</t>
  </si>
  <si>
    <t>LSB</t>
  </si>
  <si>
    <t>TRIM_VBG_POST</t>
  </si>
  <si>
    <t>TRIM_VBG_POST_BIT</t>
  </si>
  <si>
    <t>TRIM_VBG_TARGET</t>
  </si>
  <si>
    <t>TRIM_IREF_PRE</t>
  </si>
  <si>
    <t>TRIM_IREF_PRE_BIT</t>
  </si>
  <si>
    <t>TRIM_IREF_POST</t>
  </si>
  <si>
    <t>TRIM_IREF_POST_BIT</t>
  </si>
  <si>
    <t>TRIM_IREF_TARGET</t>
  </si>
  <si>
    <t>OS_OPEN</t>
  </si>
  <si>
    <t xml:space="preserve">Parameter </t>
  </si>
  <si>
    <t>Condition</t>
  </si>
  <si>
    <t>Min</t>
  </si>
  <si>
    <t>Typ</t>
  </si>
  <si>
    <t>Remark</t>
    <phoneticPr fontId="3" type="noConversion"/>
  </si>
  <si>
    <t>Power Supplies</t>
  </si>
  <si>
    <t>µA</t>
  </si>
  <si>
    <t>IQ_STBY_VIN3V3</t>
  </si>
  <si>
    <t>Quiescent Current for VIN_3V3 in sink mode enabled</t>
  </si>
  <si>
    <t>IQ_SNK_VIN3V3</t>
  </si>
  <si>
    <t>Quiescent Current for VBUS_P0/P1 in sink mode enabled</t>
  </si>
  <si>
    <t>IQ_SNK_VBUS_P0</t>
  </si>
  <si>
    <t>Quiescent Current for VIN_3V3 in source mode enabled with no load</t>
  </si>
  <si>
    <t>IQ_SRC_VIN3V3_VBUS_P0</t>
  </si>
  <si>
    <t>Quiescent Current for V5V in source mode enabled</t>
  </si>
  <si>
    <t>IQ_SRC_V5V_VBUS_P0</t>
  </si>
  <si>
    <t>Quiescent Current for V5V in VCONN mode enabled</t>
  </si>
  <si>
    <t>IQ_VCONN_V5V_CC1_P0</t>
  </si>
  <si>
    <t>VIN_3V3 UVLO</t>
  </si>
  <si>
    <t>Rising for VIN_3V3_POK=H</t>
  </si>
  <si>
    <t>VIN3V3_UVLO_RISE</t>
  </si>
  <si>
    <t>VIN_3V3 UVLO Hysteresis</t>
  </si>
  <si>
    <t>Falling</t>
  </si>
  <si>
    <t>VIN3V3_UVLO_HYS</t>
  </si>
  <si>
    <t>3.3V LDO Regulator (LDO3V3)</t>
  </si>
  <si>
    <t>LDO3V3 output regulation voltage</t>
  </si>
  <si>
    <t>LDO_REG_28V_5MA</t>
  </si>
  <si>
    <t>LDO3V3 maximum output current</t>
  </si>
  <si>
    <t>DC continuous</t>
  </si>
  <si>
    <t>LDO_REG_28V_30MA</t>
  </si>
  <si>
    <t>LDO3V3 Current Limit</t>
  </si>
  <si>
    <t>ILDO3V3_LIM</t>
  </si>
  <si>
    <t>Rising for LDO3V3 POK=H</t>
  </si>
  <si>
    <t>LDO3V3 POK Hysteresis</t>
  </si>
  <si>
    <t>Internal Switch (SW) between VIN_3V3 and LDO3V3</t>
  </si>
  <si>
    <t xml:space="preserve">Internal switch ON resistance between VIN_3V3 and LDO3V3 </t>
  </si>
  <si>
    <t>Ω</t>
  </si>
  <si>
    <t>INTERNAL_SW_ON_RES</t>
  </si>
  <si>
    <t>The switch regulation from VIN_3V3</t>
  </si>
  <si>
    <t>VIN_3V3 ≥ 3.15V at 1mA &amp; VBUS_P0/P1=0V</t>
  </si>
  <si>
    <t>VIN3V3_REG</t>
  </si>
  <si>
    <t>Thermal Protection</t>
  </si>
  <si>
    <t>Thermal Shutdown</t>
  </si>
  <si>
    <t>°C</t>
  </si>
  <si>
    <t>THSD0_RISE</t>
  </si>
  <si>
    <t>(except for the internal SW between VIN_3V3 and LDO3V3)</t>
  </si>
  <si>
    <t>Logic Output (INTB)</t>
  </si>
  <si>
    <t>Output Logic Low voltage</t>
  </si>
  <si>
    <t>VOL_INTB_1MA</t>
  </si>
  <si>
    <t xml:space="preserve">Internal pull-up resistance </t>
  </si>
  <si>
    <t>Pull-up to LDO3V3</t>
  </si>
  <si>
    <t>kΩ</t>
  </si>
  <si>
    <t>RPULLUP_INTB</t>
  </si>
  <si>
    <t>Logic Inputs (FRS_EN_P0, FRS_EN_P1)</t>
  </si>
  <si>
    <t xml:space="preserve">Logic input high threshold </t>
  </si>
  <si>
    <t>VIH_FRS_EN_P0</t>
  </si>
  <si>
    <t xml:space="preserve">Logic input low threshold </t>
  </si>
  <si>
    <t>VIL_FRS_EN_P0</t>
  </si>
  <si>
    <t>Leakage Current</t>
  </si>
  <si>
    <t>Pull up to LDO3V3</t>
  </si>
  <si>
    <t>ILK_FRS_EN_P0</t>
  </si>
  <si>
    <t>Pulldown resistance</t>
  </si>
  <si>
    <t>On each pin</t>
  </si>
  <si>
    <t>MΩ</t>
  </si>
  <si>
    <t>RPD_FRS_EN_P0</t>
  </si>
  <si>
    <t>High or Low Voltage Output on SNK_CTL_P0 and SNK_CTL_P1</t>
  </si>
  <si>
    <t>High voltage output range</t>
  </si>
  <si>
    <t>SNK_CTL_GDRV_P0/P1=1b (high voltage output) in SNK_CTL_EN_P0/P1=1b</t>
  </si>
  <si>
    <t>V_SNK_CTL_P0</t>
  </si>
  <si>
    <t xml:space="preserve">Sourcing current in high voltage output </t>
  </si>
  <si>
    <t>I_SNK_CTL_P0_H</t>
  </si>
  <si>
    <t>Sourcing current in low voltage output</t>
  </si>
  <si>
    <t xml:space="preserve">SNK_CTL_GDRV_P0/P1=0b (low voltage output) </t>
  </si>
  <si>
    <t>VOL_SNK_CTL_P1_100UA</t>
  </si>
  <si>
    <t>SNK_CTL_P0/P1 Ramp Up Time in high voltage output</t>
  </si>
  <si>
    <t>Programmable, Cg=4nF, VBUS_P0/P1=5V, time from 10% to 90% of SNK_CTL_P0/P1 set to SNK_CTL_GDRV_P0=1b (high voltage output), only effective for an initial startup, 1.75V/ms default</t>
  </si>
  <si>
    <t>V/ms</t>
  </si>
  <si>
    <t>1.350.93</t>
  </si>
  <si>
    <t xml:space="preserve">From SNK_CTL_P0/P1=OFF by SNK_CTL_EN_P0/P1=0b or VBUS_UVLO detected to turn off or </t>
  </si>
  <si>
    <t>µs</t>
  </si>
  <si>
    <t>PA/PB_20V5A_OFF=L-to-H</t>
  </si>
  <si>
    <t>GPIO on VBUS_OUT_SNS_P0 and VBUS_OUT_SNS_P1</t>
  </si>
  <si>
    <t xml:space="preserve">High-level output voltage </t>
  </si>
  <si>
    <t>LDO3V3/ VDDIO – 0.1</t>
  </si>
  <si>
    <t>VOH_VBUS_OUT_SNS_P0_LDO</t>
  </si>
  <si>
    <t xml:space="preserve">Low-level output voltage </t>
  </si>
  <si>
    <t>High-level input leakage current</t>
  </si>
  <si>
    <t>LDO3V3 or VDDIO=3.3V, apply 0V to 3.3V on each pin, configured as input</t>
  </si>
  <si>
    <t>IIH_VBUS_OUT_SNS_P0</t>
  </si>
  <si>
    <t>Low-level input leakage current</t>
  </si>
  <si>
    <t>LDO3V3 or VDDIO=3.3V, apply 0V on each pin, configured as input</t>
  </si>
  <si>
    <t>IIL_VBUS_OUT_SNS_P0</t>
  </si>
  <si>
    <t>VBUS_P0 &amp; VBUS_P1 Sink Mode</t>
  </si>
  <si>
    <t>VBUS_P0 &amp; VBUS_P1 UVLO</t>
  </si>
  <si>
    <t>Rising</t>
  </si>
  <si>
    <t>VBUS_P0_UVLO_RISE</t>
  </si>
  <si>
    <t>VBUS_P0 &amp; VBUS_P1 UVLO Hysteresis</t>
  </si>
  <si>
    <t xml:space="preserve">Falling </t>
  </si>
  <si>
    <t>VBUS_P0_UVLO_HYS</t>
  </si>
  <si>
    <t>VBUS_P0 &amp; VBUS_P1 OVP threshold</t>
  </si>
  <si>
    <t>6  6.8 12 13.217.5 23 31</t>
  </si>
  <si>
    <t>+</t>
  </si>
  <si>
    <t>VBUS_P0_OV_23V</t>
  </si>
  <si>
    <t>VBUS_P0_OV_31P6V</t>
  </si>
  <si>
    <t>VBUS_P0 &amp; VBUS_P1 OVP threshold Hysteresis</t>
  </si>
  <si>
    <t>RCP Trigger Level of Sink Mode to turn off SNK_CTL_P0/P1</t>
  </si>
  <si>
    <t>RCP_SNK_VBUS_P0_5V</t>
  </si>
  <si>
    <t>Severe RCP Trigger Level of Sink Mode to turn off SNK_CTL_P0/P1</t>
  </si>
  <si>
    <t>RCPS_SNK_VBUS_P0_5V</t>
  </si>
  <si>
    <t>VBUS_P0/P1 Leakage Current in Off State</t>
  </si>
  <si>
    <t>I_LKG_VBUS_P0_5V_OFF</t>
  </si>
  <si>
    <t>VBUS_P0/P1 discharge resistance</t>
  </si>
  <si>
    <t>R_VBUS_P0_5V</t>
  </si>
  <si>
    <t>VBUS_P0/P1 debounce Time</t>
  </si>
  <si>
    <t>Re-enable the pin of SNK_CTL_P0 or SNK_CTL_P1 with a high or voltage output from OV release condition or at in initial power-up</t>
  </si>
  <si>
    <t>ms</t>
  </si>
  <si>
    <t>SNK_CTL_P0/P1 output OFF Time from severe RCP</t>
  </si>
  <si>
    <t>From Sink Severe RCP to SNK_CTL_P0/P1 output Off, VBUS_OUT_SNS_P0/P1 – (VBUS_P0 or VBUS_P1) = 55mV</t>
  </si>
  <si>
    <t>Deglitch Time from RCP to SNK_CTL_P0/P1 output OFF</t>
  </si>
  <si>
    <t>VBUS_P0/P1 OVP response delay time in both Sink and Source mode</t>
  </si>
  <si>
    <t>ns</t>
  </si>
  <si>
    <t>Source Mode (V5V to VBUS_P0 or VBUS_P1)</t>
  </si>
  <si>
    <t>Source Switch ON resistance between V5V and VBUS_P0 or VBUS_P1</t>
  </si>
  <si>
    <t>mΩ</t>
  </si>
  <si>
    <t>RDS_ON_SRC_VBUS_P0</t>
  </si>
  <si>
    <t>V5V UVLO</t>
  </si>
  <si>
    <t>V5V_UVLO_RISE</t>
  </si>
  <si>
    <t>V5V UVLO Hysteresis</t>
  </si>
  <si>
    <t>V5V_UVLO_HYS</t>
  </si>
  <si>
    <t>VBUS regulation from V5V</t>
  </si>
  <si>
    <t xml:space="preserve">V5V – VBUS_P0/P1 at 10mA </t>
  </si>
  <si>
    <t>V5V_REG_VBUS_P0</t>
  </si>
  <si>
    <t>Overcurrent threshold range</t>
  </si>
  <si>
    <t>SRC_OC_TH_P0/P1[3:0], 200mA steps</t>
  </si>
  <si>
    <t>SRC_LIN_P0_POST</t>
  </si>
  <si>
    <t>Overcurrent threshold accuracy</t>
  </si>
  <si>
    <t>RCP Trigger Level in Source Mode to turn off source switch</t>
  </si>
  <si>
    <t>RCP_SRC_VBUS_P0</t>
  </si>
  <si>
    <t>Severe RCP Trigger Level in Source Mode to turn off source switch</t>
  </si>
  <si>
    <t>RCPS_SRC_VBUS_P0</t>
  </si>
  <si>
    <t>V5V Off State Leakage Current</t>
  </si>
  <si>
    <t xml:space="preserve">V5V=5V, both source switches stay off </t>
  </si>
  <si>
    <t>Source Switch Short Circuit Protection threshold</t>
  </si>
  <si>
    <t>Programmable, 5A default</t>
  </si>
  <si>
    <t>5     6</t>
  </si>
  <si>
    <t>A</t>
  </si>
  <si>
    <t>Source Switch Enable Time</t>
  </si>
  <si>
    <t>OCP debounce time to turn off a Source Switch</t>
  </si>
  <si>
    <t xml:space="preserve">Programmable, time from a programmed OCP threshold detected to turn off the source switch </t>
  </si>
  <si>
    <t>10      20       40          80</t>
  </si>
  <si>
    <t>TR_SS_SRC_P0</t>
  </si>
  <si>
    <t>Source Switch OFF Time</t>
  </si>
  <si>
    <t>Source Switch OFF Time from Severe RCP</t>
  </si>
  <si>
    <t>From SRC Severe RCP to Switch Off, VBUS_P0/1 – V5V = 55mV</t>
  </si>
  <si>
    <t>Source Switch RCP Deglitch Time</t>
  </si>
  <si>
    <t>Deglitch Time from RCP to Switch OFF</t>
  </si>
  <si>
    <t xml:space="preserve">Source Switch FRS Time </t>
  </si>
  <si>
    <t>CC1, CC2 SWITCH (CC1/2_P0/P1 to CC1/2_SYS_P0/P1)</t>
  </si>
  <si>
    <t xml:space="preserve">CC Switch ON resistance </t>
  </si>
  <si>
    <t>RDS_ON_CC1_P0</t>
  </si>
  <si>
    <t>CC1/2_P0/1 Over Voltage protection threshold in both VCONN and non VCONN mode (CC SW enabled)</t>
  </si>
  <si>
    <t>5.845.65</t>
  </si>
  <si>
    <t>CC1_P0_R_6V</t>
  </si>
  <si>
    <t>CC1/2_P0/1 Over Voltage protection threshold hysteresis</t>
  </si>
  <si>
    <t>Falling to re-enable the CC switch in auto-recovery mode enabled</t>
  </si>
  <si>
    <t>CC1_P0_HYS_6V</t>
  </si>
  <si>
    <t>CC1/2_P0/1 OVP Switch Off Time</t>
  </si>
  <si>
    <t>OVP Falling auto-Recovery Time</t>
  </si>
  <si>
    <t>3dB Bandwidth</t>
  </si>
  <si>
    <t>LKG_CC1_P0</t>
  </si>
  <si>
    <t xml:space="preserve">Rd of CC1/2_P0/1 pin at dead battery condition </t>
  </si>
  <si>
    <t>RPD1_P0_RD_ON</t>
  </si>
  <si>
    <t>Discharge Resistor</t>
  </si>
  <si>
    <t>On CC1/2_SYS_P0/1 pin during OVP</t>
  </si>
  <si>
    <t>R_DIS_CC1_SYS_P0</t>
  </si>
  <si>
    <t>VCONN SWITCH (V5V to CC1/2_P0/P1)</t>
  </si>
  <si>
    <t>RDS_ON_VCONN1_P0</t>
    <phoneticPr fontId="3" type="noConversion"/>
  </si>
  <si>
    <t>Over-Current Clamping threshold</t>
  </si>
  <si>
    <t>0.4 0.7 0.8</t>
  </si>
  <si>
    <t>VCN1_LIN_P0_POST</t>
  </si>
  <si>
    <t>Over current limit accuracy</t>
  </si>
  <si>
    <t>(V5V – CC1/2_P0/1) ≤ 1.5V</t>
  </si>
  <si>
    <t>VCONN OCP Deglitch Time</t>
  </si>
  <si>
    <t>Deglitch time to OCP_VCONN_I Interrupt</t>
  </si>
  <si>
    <t>VCONN SW OFF delay time in VCONN OVP</t>
  </si>
  <si>
    <t>OVP trip to turn off VCONN Switch Off            (&gt; 2V/µs slope)</t>
  </si>
  <si>
    <t>OVP Falling Recovery Time</t>
  </si>
  <si>
    <t>VCONN turn on time</t>
  </si>
  <si>
    <t>CC1/2_P0/1 from 10% to 90% of V5V</t>
  </si>
  <si>
    <t>TR_VCONN1_P0</t>
  </si>
  <si>
    <t xml:space="preserve">Discharge Resistance at CC1/2_P0/1 </t>
  </si>
  <si>
    <t>SBU1, SBU2 SWITCH (SBU1/2_P0/P1 to SBU1/2_OUT_P0/P1)</t>
  </si>
  <si>
    <t xml:space="preserve">Each SBU Switch ON resistance </t>
  </si>
  <si>
    <t>RDS_ON_SBU1_P0</t>
  </si>
  <si>
    <t xml:space="preserve">SBU1/2_P0/1 Over Voltage Protection Threshold </t>
  </si>
  <si>
    <t xml:space="preserve">Rising to turn off both SBU1 and SBU2 switch at an OVP-triggered port </t>
  </si>
  <si>
    <t>SBU1_R_P0</t>
  </si>
  <si>
    <t>SBU1/2_P0/1 Over Voltage Protection Threshold Hysteresis</t>
  </si>
  <si>
    <t>SBU1_HYS_P0</t>
  </si>
  <si>
    <t>SBU1/2_P0/1 Switch on Time</t>
  </si>
  <si>
    <t>SBU1/2_P0/1 OVP Switch Off delay Time</t>
  </si>
  <si>
    <t>30 100</t>
  </si>
  <si>
    <t>100 175</t>
  </si>
  <si>
    <t xml:space="preserve">Discharge resistor on the SBU system side pins </t>
  </si>
  <si>
    <t>On SBU1/2_SYS_P0/P1 during OVP in SBU_RD_DIS_OV_EN=1b</t>
  </si>
  <si>
    <t>R_DIS_SBU1_P0</t>
  </si>
  <si>
    <t>VBUS Voltage Conversion Analog Output (VBUS_DIV_P0, VBUS_DIV_P1)</t>
  </si>
  <si>
    <t>Output voltage range on VBUS_DIV_P0/P1 pin</t>
  </si>
  <si>
    <t>VBUS_P0/P1=0V-35V</t>
  </si>
  <si>
    <t>With respect to a measured voltage at VBUS_P0 and VBUS_P1</t>
  </si>
  <si>
    <t>VBUS_P0_RATIO</t>
  </si>
  <si>
    <t>V5V Voltage Conversion Analog Output (V5V_DIV)</t>
  </si>
  <si>
    <t>Voltage range on V5V pin</t>
  </si>
  <si>
    <t>V5V=0V-6.0V</t>
  </si>
  <si>
    <t>With respect to a measured voltage at V5V</t>
  </si>
  <si>
    <t>V5V_DIV_5P5_RATIO</t>
  </si>
  <si>
    <t>Source Current Conversion Analog Output (SRC_CUR_P0, SRC_CUR_P1)</t>
  </si>
  <si>
    <t>Voltage range for source current from V5V to VBUS_P0/P1 on each SRC_CUR_P0/P1 pin</t>
  </si>
  <si>
    <t>Source current=0A-4.5A</t>
  </si>
  <si>
    <t>Source current &gt;1A</t>
  </si>
  <si>
    <t>With respect to a measured current</t>
  </si>
  <si>
    <t>mV/mA</t>
  </si>
  <si>
    <t>SRC_P0_1P4_RATIO</t>
  </si>
  <si>
    <t>Input High Threshold Voltage</t>
  </si>
  <si>
    <t>SDA and SCL</t>
  </si>
  <si>
    <t>VIH_SDA</t>
  </si>
  <si>
    <t>Input Low Threshold Voltage</t>
  </si>
  <si>
    <t>VIL_SDA</t>
  </si>
  <si>
    <t>On SDA and SCL, pull-up to LDO3V3=3.3V</t>
  </si>
  <si>
    <t>PULLUP_SCL_R</t>
  </si>
  <si>
    <t>SDA Output Low Threshold Voltage</t>
  </si>
  <si>
    <t>Sink current=5mA</t>
  </si>
  <si>
    <t>Clock Frequency</t>
  </si>
  <si>
    <t>kHz</t>
  </si>
  <si>
    <t>Coveraged?</t>
    <phoneticPr fontId="1" type="noConversion"/>
  </si>
  <si>
    <r>
      <t>I</t>
    </r>
    <r>
      <rPr>
        <vertAlign val="subscript"/>
        <sz val="8"/>
        <color theme="1"/>
        <rFont val="Arial"/>
        <family val="2"/>
      </rPr>
      <t>Q_STBY_VIN3V3</t>
    </r>
  </si>
  <si>
    <r>
      <t>Quiescent Current for VIN_3V3 at Stand-by mode with I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C active</t>
    </r>
  </si>
  <si>
    <r>
      <t>Device in the delink mode where VIN_3V3=3.3V, VBUS_P0=VBUS_P1=0V, LDO3V3=OFF, all CC1/2_P0/1 switches stay on, all the other switches stay off, I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C active, all the others are set to default, the internal switch in ideal diode mode</t>
    </r>
  </si>
  <si>
    <r>
      <t>I</t>
    </r>
    <r>
      <rPr>
        <vertAlign val="subscript"/>
        <sz val="8"/>
        <color theme="1"/>
        <rFont val="Arial"/>
        <family val="2"/>
      </rPr>
      <t>Q_SNK_VIN3V3</t>
    </r>
  </si>
  <si>
    <t>VBUS_P0 or P1=5V, VIN_3V3=3.3V, one SNK_CTL_P0/P1=ON with the high voltage output, LDO3V3=OFF, all the other switches stay off, except for all CC1/2_P0/1 switches, all the others are set to default</t>
  </si>
  <si>
    <r>
      <t>I</t>
    </r>
    <r>
      <rPr>
        <vertAlign val="subscript"/>
        <sz val="8"/>
        <color theme="1"/>
        <rFont val="Arial"/>
        <family val="2"/>
      </rPr>
      <t>Q_SNK_VBUS</t>
    </r>
  </si>
  <si>
    <r>
      <t>I</t>
    </r>
    <r>
      <rPr>
        <vertAlign val="subscript"/>
        <sz val="8"/>
        <color theme="1"/>
        <rFont val="Arial"/>
        <family val="2"/>
      </rPr>
      <t>Q_SRC_VIN3V3</t>
    </r>
  </si>
  <si>
    <t>V5V=5V, VIN_3V3=3.3V, one Source SW=ON, LDO3V3=OFF, all the other switches stay off, except for all CC1/2_P0/1 switches, all the others are set to default</t>
  </si>
  <si>
    <r>
      <t>I</t>
    </r>
    <r>
      <rPr>
        <vertAlign val="subscript"/>
        <sz val="8"/>
        <color theme="1"/>
        <rFont val="Arial"/>
        <family val="2"/>
      </rPr>
      <t>Q_SRC_V5V</t>
    </r>
  </si>
  <si>
    <r>
      <t>I</t>
    </r>
    <r>
      <rPr>
        <vertAlign val="subscript"/>
        <sz val="8"/>
        <color theme="1"/>
        <rFont val="Arial"/>
        <family val="2"/>
      </rPr>
      <t>Q_VCONN_V5V</t>
    </r>
  </si>
  <si>
    <t>V5V=5V, VIN_3V3=3.3V, one VCONN SW=ON at one Port only, LDO3V3=OFF, all the other switches stay off, except for all CC1/2_P0/1 switches, all the others are set to default</t>
  </si>
  <si>
    <r>
      <t>V</t>
    </r>
    <r>
      <rPr>
        <vertAlign val="subscript"/>
        <sz val="8"/>
        <color theme="1"/>
        <rFont val="Arial"/>
        <family val="2"/>
      </rPr>
      <t>VIN_3V3_UVLO</t>
    </r>
  </si>
  <si>
    <r>
      <t>V</t>
    </r>
    <r>
      <rPr>
        <vertAlign val="subscript"/>
        <sz val="8"/>
        <color theme="1"/>
        <rFont val="Arial"/>
        <family val="2"/>
      </rPr>
      <t>VIN_3V3_UVLO_HYS</t>
    </r>
  </si>
  <si>
    <r>
      <t>V</t>
    </r>
    <r>
      <rPr>
        <vertAlign val="subscript"/>
        <sz val="8"/>
        <color rgb="FF000000"/>
        <rFont val="Arial"/>
        <family val="2"/>
      </rPr>
      <t>LDO3V3</t>
    </r>
    <r>
      <rPr>
        <vertAlign val="superscript"/>
        <sz val="8"/>
        <color rgb="FF000000"/>
        <rFont val="Arial"/>
        <family val="2"/>
      </rPr>
      <t>(NOTE2)</t>
    </r>
  </si>
  <si>
    <r>
      <t>VBUS_P0/P1 ≥ UVLO, I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=0mA-60mA</t>
    </r>
  </si>
  <si>
    <r>
      <t>I</t>
    </r>
    <r>
      <rPr>
        <vertAlign val="subscript"/>
        <sz val="8"/>
        <color rgb="FF000000"/>
        <rFont val="Arial"/>
        <family val="2"/>
      </rPr>
      <t>LDO3V3_MAX</t>
    </r>
  </si>
  <si>
    <r>
      <t>I</t>
    </r>
    <r>
      <rPr>
        <vertAlign val="subscript"/>
        <sz val="8"/>
        <color rgb="FF000000"/>
        <rFont val="Arial"/>
        <family val="2"/>
      </rPr>
      <t>LDO3V3_LIM</t>
    </r>
  </si>
  <si>
    <r>
      <t>V</t>
    </r>
    <r>
      <rPr>
        <vertAlign val="subscript"/>
        <sz val="8"/>
        <color theme="1"/>
        <rFont val="Arial"/>
        <family val="2"/>
      </rPr>
      <t>LDO3V3</t>
    </r>
    <r>
      <rPr>
        <sz val="8"/>
        <color theme="1"/>
        <rFont val="Arial"/>
        <family val="2"/>
      </rPr>
      <t>=0V</t>
    </r>
  </si>
  <si>
    <r>
      <t>V</t>
    </r>
    <r>
      <rPr>
        <vertAlign val="subscript"/>
        <sz val="8"/>
        <color rgb="FF000000"/>
        <rFont val="Arial"/>
        <family val="2"/>
      </rPr>
      <t>LDO3V3_POK</t>
    </r>
  </si>
  <si>
    <r>
      <t>LDO3V3 POK</t>
    </r>
    <r>
      <rPr>
        <vertAlign val="superscript"/>
        <sz val="8"/>
        <color rgb="FF000000"/>
        <rFont val="Arial"/>
        <family val="2"/>
      </rPr>
      <t>(NOTE1)</t>
    </r>
  </si>
  <si>
    <r>
      <t>V</t>
    </r>
    <r>
      <rPr>
        <vertAlign val="subscript"/>
        <sz val="8"/>
        <color rgb="FF000000"/>
        <rFont val="Arial"/>
        <family val="2"/>
      </rPr>
      <t>LDO3V3_POK_HYS</t>
    </r>
  </si>
  <si>
    <r>
      <t>R</t>
    </r>
    <r>
      <rPr>
        <vertAlign val="subscript"/>
        <sz val="8"/>
        <color rgb="FF000000"/>
        <rFont val="Arial"/>
        <family val="2"/>
      </rPr>
      <t>DS_ON_SW</t>
    </r>
  </si>
  <si>
    <r>
      <t>VIN_3V3=3.3V, I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=50mA, including bonding wire resistance</t>
    </r>
  </si>
  <si>
    <r>
      <t>V</t>
    </r>
    <r>
      <rPr>
        <vertAlign val="subscript"/>
        <sz val="8"/>
        <color rgb="FF000000"/>
        <rFont val="Arial"/>
        <family val="2"/>
      </rPr>
      <t>SW</t>
    </r>
    <r>
      <rPr>
        <sz val="8"/>
        <color rgb="FF000000"/>
        <rFont val="Arial"/>
        <family val="2"/>
      </rPr>
      <t>_</t>
    </r>
    <r>
      <rPr>
        <vertAlign val="subscript"/>
        <sz val="8"/>
        <color rgb="FF000000"/>
        <rFont val="Arial"/>
        <family val="2"/>
      </rPr>
      <t>REG</t>
    </r>
  </si>
  <si>
    <r>
      <t>T</t>
    </r>
    <r>
      <rPr>
        <vertAlign val="subscript"/>
        <sz val="8"/>
        <color theme="1"/>
        <rFont val="Arial"/>
        <family val="2"/>
      </rPr>
      <t>SHDN</t>
    </r>
    <r>
      <rPr>
        <vertAlign val="superscript"/>
        <sz val="8"/>
        <color theme="1"/>
        <rFont val="Arial"/>
        <family val="2"/>
      </rPr>
      <t>(NOTE1)</t>
    </r>
  </si>
  <si>
    <t>Rising to disable all the switches (SNK_CTL_P0/P1 output, Source, VCONN, CC &amp; SBU SW) or &amp; LDO3V3 regulator</t>
  </si>
  <si>
    <r>
      <t>V</t>
    </r>
    <r>
      <rPr>
        <vertAlign val="subscript"/>
        <sz val="8"/>
        <color rgb="FF000000"/>
        <rFont val="Arial"/>
        <family val="2"/>
      </rPr>
      <t>OL</t>
    </r>
  </si>
  <si>
    <r>
      <t>I</t>
    </r>
    <r>
      <rPr>
        <vertAlign val="subscript"/>
        <sz val="8"/>
        <color rgb="FF000000"/>
        <rFont val="Arial"/>
        <family val="2"/>
      </rPr>
      <t>OL</t>
    </r>
    <r>
      <rPr>
        <sz val="8"/>
        <color rgb="FF000000"/>
        <rFont val="Arial"/>
        <family val="2"/>
      </rPr>
      <t>=1mA</t>
    </r>
  </si>
  <si>
    <r>
      <t>R</t>
    </r>
    <r>
      <rPr>
        <vertAlign val="subscript"/>
        <sz val="8"/>
        <color rgb="FF000000"/>
        <rFont val="Arial"/>
        <family val="2"/>
      </rPr>
      <t>PULLUP_INTB</t>
    </r>
  </si>
  <si>
    <r>
      <t>V</t>
    </r>
    <r>
      <rPr>
        <vertAlign val="subscript"/>
        <sz val="8"/>
        <color rgb="FF000000"/>
        <rFont val="Arial"/>
        <family val="2"/>
      </rPr>
      <t>IH</t>
    </r>
  </si>
  <si>
    <r>
      <t>V</t>
    </r>
    <r>
      <rPr>
        <vertAlign val="subscript"/>
        <sz val="8"/>
        <color rgb="FF000000"/>
        <rFont val="Arial"/>
        <family val="2"/>
      </rPr>
      <t>IL</t>
    </r>
  </si>
  <si>
    <r>
      <t>I</t>
    </r>
    <r>
      <rPr>
        <vertAlign val="subscript"/>
        <sz val="8"/>
        <color rgb="FF000000"/>
        <rFont val="Arial"/>
        <family val="2"/>
      </rPr>
      <t>LK</t>
    </r>
  </si>
  <si>
    <r>
      <t>R</t>
    </r>
    <r>
      <rPr>
        <vertAlign val="subscript"/>
        <sz val="8"/>
        <color rgb="FF000000"/>
        <rFont val="Arial"/>
        <family val="2"/>
      </rPr>
      <t>PD</t>
    </r>
  </si>
  <si>
    <r>
      <t>V</t>
    </r>
    <r>
      <rPr>
        <vertAlign val="subscript"/>
        <sz val="8"/>
        <color theme="1"/>
        <rFont val="Arial"/>
        <family val="2"/>
      </rPr>
      <t>SNK_CTL_P0_P1</t>
    </r>
  </si>
  <si>
    <r>
      <t>I</t>
    </r>
    <r>
      <rPr>
        <vertAlign val="subscript"/>
        <sz val="8"/>
        <color rgb="FF000000"/>
        <rFont val="Arial"/>
        <family val="2"/>
      </rPr>
      <t>SNK_CTL_P0_1</t>
    </r>
  </si>
  <si>
    <t xml:space="preserve">SNK_CTL_GDRV_P0/P1=1b (high voltage output) at VBUS_P0/1=5V </t>
  </si>
  <si>
    <r>
      <t>t</t>
    </r>
    <r>
      <rPr>
        <vertAlign val="subscript"/>
        <sz val="8"/>
        <color rgb="FF000000"/>
        <rFont val="Arial"/>
        <family val="2"/>
      </rPr>
      <t>SNK_CTL_RAMP</t>
    </r>
  </si>
  <si>
    <r>
      <t>t</t>
    </r>
    <r>
      <rPr>
        <vertAlign val="subscript"/>
        <sz val="8"/>
        <color theme="1"/>
        <rFont val="Arial"/>
        <family val="2"/>
      </rPr>
      <t>OFF_CTL_DIS</t>
    </r>
  </si>
  <si>
    <r>
      <t>SNK_CTL_P0/P1 OFF Time</t>
    </r>
    <r>
      <rPr>
        <vertAlign val="superscript"/>
        <sz val="8"/>
        <color theme="1"/>
        <rFont val="Arial"/>
        <family val="2"/>
      </rPr>
      <t xml:space="preserve"> (NOTE1)</t>
    </r>
  </si>
  <si>
    <r>
      <t>V</t>
    </r>
    <r>
      <rPr>
        <vertAlign val="subscript"/>
        <sz val="8"/>
        <color theme="1"/>
        <rFont val="Arial"/>
        <family val="2"/>
      </rPr>
      <t>OH</t>
    </r>
  </si>
  <si>
    <r>
      <t>I</t>
    </r>
    <r>
      <rPr>
        <vertAlign val="subscript"/>
        <sz val="8"/>
        <color theme="1"/>
        <rFont val="Arial"/>
        <family val="2"/>
      </rPr>
      <t>OH</t>
    </r>
    <r>
      <rPr>
        <sz val="8"/>
        <color theme="1"/>
        <rFont val="Arial"/>
        <family val="2"/>
      </rPr>
      <t>=0.1mA</t>
    </r>
  </si>
  <si>
    <r>
      <t>V</t>
    </r>
    <r>
      <rPr>
        <vertAlign val="subscript"/>
        <sz val="8"/>
        <color theme="1"/>
        <rFont val="Arial"/>
        <family val="2"/>
      </rPr>
      <t>OL</t>
    </r>
  </si>
  <si>
    <r>
      <t>I</t>
    </r>
    <r>
      <rPr>
        <vertAlign val="subscript"/>
        <sz val="8"/>
        <color theme="1"/>
        <rFont val="Arial"/>
        <family val="2"/>
      </rPr>
      <t>OL</t>
    </r>
    <r>
      <rPr>
        <sz val="8"/>
        <color theme="1"/>
        <rFont val="Arial"/>
        <family val="2"/>
      </rPr>
      <t>=0.1mA</t>
    </r>
  </si>
  <si>
    <r>
      <t>I</t>
    </r>
    <r>
      <rPr>
        <vertAlign val="subscript"/>
        <sz val="8"/>
        <color theme="1"/>
        <rFont val="Arial"/>
        <family val="2"/>
      </rPr>
      <t>IH_LKG</t>
    </r>
  </si>
  <si>
    <r>
      <t>I</t>
    </r>
    <r>
      <rPr>
        <vertAlign val="subscript"/>
        <sz val="8"/>
        <color theme="1"/>
        <rFont val="Arial"/>
        <family val="2"/>
      </rPr>
      <t>IL_LKG</t>
    </r>
  </si>
  <si>
    <r>
      <t>V</t>
    </r>
    <r>
      <rPr>
        <vertAlign val="subscript"/>
        <sz val="8"/>
        <color theme="1"/>
        <rFont val="Arial"/>
        <family val="2"/>
      </rPr>
      <t>VBUS_UVLO</t>
    </r>
  </si>
  <si>
    <r>
      <t>V</t>
    </r>
    <r>
      <rPr>
        <vertAlign val="subscript"/>
        <sz val="8"/>
        <color theme="1"/>
        <rFont val="Arial"/>
        <family val="2"/>
      </rPr>
      <t>VBUS_UVLO_HYS</t>
    </r>
  </si>
  <si>
    <r>
      <t>V</t>
    </r>
    <r>
      <rPr>
        <vertAlign val="subscript"/>
        <sz val="8"/>
        <color theme="1"/>
        <rFont val="Arial"/>
        <family val="2"/>
      </rPr>
      <t>VBUS_OVP</t>
    </r>
  </si>
  <si>
    <r>
      <t>Rising to set a corresponding interrupt, programmable over I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C, 31.6V default</t>
    </r>
  </si>
  <si>
    <r>
      <t>V</t>
    </r>
    <r>
      <rPr>
        <vertAlign val="subscript"/>
        <sz val="8"/>
        <color theme="1"/>
        <rFont val="Arial"/>
        <family val="2"/>
      </rPr>
      <t>VBUS_OVP_HYS</t>
    </r>
  </si>
  <si>
    <r>
      <t>V</t>
    </r>
    <r>
      <rPr>
        <vertAlign val="subscript"/>
        <sz val="8"/>
        <color theme="1"/>
        <rFont val="Arial"/>
        <family val="2"/>
      </rPr>
      <t>RCP_SNK</t>
    </r>
  </si>
  <si>
    <r>
      <t>(V</t>
    </r>
    <r>
      <rPr>
        <vertAlign val="subscript"/>
        <sz val="8"/>
        <color theme="1"/>
        <rFont val="Arial"/>
        <family val="2"/>
      </rPr>
      <t xml:space="preserve">VBUS_OUT_SNS_P0 </t>
    </r>
    <r>
      <rPr>
        <sz val="8"/>
        <color theme="1"/>
        <rFont val="Arial"/>
        <family val="2"/>
      </rPr>
      <t>– V</t>
    </r>
    <r>
      <rPr>
        <vertAlign val="subscript"/>
        <sz val="8"/>
        <color theme="1"/>
        <rFont val="Arial"/>
        <family val="2"/>
      </rPr>
      <t>VBUS_P0</t>
    </r>
    <r>
      <rPr>
        <sz val="8"/>
        <color theme="1"/>
        <rFont val="Arial"/>
        <family val="2"/>
      </rPr>
      <t xml:space="preserve">) or </t>
    </r>
  </si>
  <si>
    <r>
      <t>(V</t>
    </r>
    <r>
      <rPr>
        <vertAlign val="subscript"/>
        <sz val="8"/>
        <color theme="1"/>
        <rFont val="Arial"/>
        <family val="2"/>
      </rPr>
      <t xml:space="preserve">VBUS_OUT_SNS_P1 </t>
    </r>
    <r>
      <rPr>
        <sz val="8"/>
        <color theme="1"/>
        <rFont val="Arial"/>
        <family val="2"/>
      </rPr>
      <t>– V</t>
    </r>
    <r>
      <rPr>
        <vertAlign val="subscript"/>
        <sz val="8"/>
        <color theme="1"/>
        <rFont val="Arial"/>
        <family val="2"/>
      </rPr>
      <t>VBUS_P1</t>
    </r>
    <r>
      <rPr>
        <sz val="8"/>
        <color theme="1"/>
        <rFont val="Arial"/>
        <family val="2"/>
      </rPr>
      <t>)</t>
    </r>
  </si>
  <si>
    <r>
      <t>V</t>
    </r>
    <r>
      <rPr>
        <vertAlign val="subscript"/>
        <sz val="8"/>
        <color theme="1"/>
        <rFont val="Arial"/>
        <family val="2"/>
      </rPr>
      <t>RCPS_SNK</t>
    </r>
  </si>
  <si>
    <r>
      <t>I</t>
    </r>
    <r>
      <rPr>
        <vertAlign val="subscript"/>
        <sz val="8"/>
        <color theme="1"/>
        <rFont val="Arial"/>
        <family val="2"/>
      </rPr>
      <t>LK_VBUS_OFF</t>
    </r>
  </si>
  <si>
    <r>
      <t>VBUS_P0/P1=5V-30V, VIN_3V3=3.3V, SNK_CTL_P0/P1=OFF, disable R</t>
    </r>
    <r>
      <rPr>
        <vertAlign val="subscript"/>
        <sz val="8"/>
        <color theme="1"/>
        <rFont val="Arial"/>
        <family val="2"/>
      </rPr>
      <t>VBUS_PD</t>
    </r>
  </si>
  <si>
    <r>
      <t>R</t>
    </r>
    <r>
      <rPr>
        <vertAlign val="subscript"/>
        <sz val="8"/>
        <color theme="1"/>
        <rFont val="Arial"/>
        <family val="2"/>
      </rPr>
      <t>VBUS_PD</t>
    </r>
  </si>
  <si>
    <r>
      <t>VBUS_P0 or VBUS_P1=5V-30V, enable over I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C </t>
    </r>
  </si>
  <si>
    <r>
      <t>t</t>
    </r>
    <r>
      <rPr>
        <vertAlign val="subscript"/>
        <sz val="8"/>
        <color theme="1"/>
        <rFont val="Arial"/>
        <family val="2"/>
      </rPr>
      <t>DEB_VBUS</t>
    </r>
    <r>
      <rPr>
        <vertAlign val="superscript"/>
        <sz val="8"/>
        <color theme="1"/>
        <rFont val="Arial"/>
        <family val="2"/>
      </rPr>
      <t>(NOTE1)</t>
    </r>
  </si>
  <si>
    <r>
      <t>t</t>
    </r>
    <r>
      <rPr>
        <vertAlign val="subscript"/>
        <sz val="8"/>
        <color theme="1"/>
        <rFont val="Arial"/>
        <family val="2"/>
      </rPr>
      <t>RCPS_SNK</t>
    </r>
    <r>
      <rPr>
        <vertAlign val="superscript"/>
        <sz val="8"/>
        <color theme="1"/>
        <rFont val="Arial"/>
        <family val="2"/>
      </rPr>
      <t>(NOTE1)</t>
    </r>
  </si>
  <si>
    <r>
      <t>t</t>
    </r>
    <r>
      <rPr>
        <vertAlign val="subscript"/>
        <sz val="8"/>
        <color theme="1"/>
        <rFont val="Arial"/>
        <family val="2"/>
      </rPr>
      <t>RCP_SNK_DEG</t>
    </r>
  </si>
  <si>
    <r>
      <t>SNK_CTL_P0/P1 output OFF RCP Deglitch Time</t>
    </r>
    <r>
      <rPr>
        <vertAlign val="superscript"/>
        <sz val="8"/>
        <color theme="1"/>
        <rFont val="Arial"/>
        <family val="2"/>
      </rPr>
      <t xml:space="preserve"> (NOTE1)</t>
    </r>
  </si>
  <si>
    <r>
      <t>t</t>
    </r>
    <r>
      <rPr>
        <vertAlign val="subscript"/>
        <sz val="8"/>
        <color theme="1"/>
        <rFont val="Arial"/>
        <family val="2"/>
      </rPr>
      <t>REC_RCP_SNK</t>
    </r>
  </si>
  <si>
    <r>
      <t>SNK_CTL_P0/P1 output recovery time from RCP</t>
    </r>
    <r>
      <rPr>
        <vertAlign val="superscript"/>
        <sz val="8"/>
        <color theme="1"/>
        <rFont val="Arial"/>
        <family val="2"/>
      </rPr>
      <t>(NOTE1)</t>
    </r>
  </si>
  <si>
    <r>
      <t>RCP/RCPS (severe RCP) recovery to enable SNK_CTL_P0/P1 output</t>
    </r>
    <r>
      <rPr>
        <vertAlign val="subscript"/>
        <sz val="8"/>
        <color theme="1"/>
        <rFont val="Arial"/>
        <family val="2"/>
      </rPr>
      <t xml:space="preserve">, </t>
    </r>
    <r>
      <rPr>
        <sz val="8"/>
        <color theme="1"/>
        <rFont val="Arial"/>
        <family val="2"/>
      </rPr>
      <t>C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=100µF, R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=10Ω, V</t>
    </r>
    <r>
      <rPr>
        <vertAlign val="subscript"/>
        <sz val="8"/>
        <color theme="1"/>
        <rFont val="Arial"/>
        <family val="2"/>
      </rPr>
      <t>VBUS_P0/P1</t>
    </r>
    <r>
      <rPr>
        <sz val="8"/>
        <color theme="1"/>
        <rFont val="Arial"/>
        <family val="2"/>
      </rPr>
      <t>=5V</t>
    </r>
  </si>
  <si>
    <r>
      <t>t</t>
    </r>
    <r>
      <rPr>
        <vertAlign val="subscript"/>
        <sz val="8"/>
        <color theme="1"/>
        <rFont val="Arial"/>
        <family val="2"/>
      </rPr>
      <t>OVP_RES</t>
    </r>
    <r>
      <rPr>
        <vertAlign val="superscript"/>
        <sz val="8"/>
        <color theme="1"/>
        <rFont val="Arial"/>
        <family val="2"/>
      </rPr>
      <t>(NOTE1)</t>
    </r>
  </si>
  <si>
    <r>
      <t>From V</t>
    </r>
    <r>
      <rPr>
        <vertAlign val="subscript"/>
        <sz val="8"/>
        <color theme="1"/>
        <rFont val="Arial"/>
        <family val="2"/>
      </rPr>
      <t>VBUS_P0/P1</t>
    </r>
    <r>
      <rPr>
        <sz val="8"/>
        <color theme="1"/>
        <rFont val="Arial"/>
        <family val="2"/>
      </rPr>
      <t xml:space="preserve"> ≥ V</t>
    </r>
    <r>
      <rPr>
        <vertAlign val="subscript"/>
        <sz val="8"/>
        <color theme="1"/>
        <rFont val="Arial"/>
        <family val="2"/>
      </rPr>
      <t>VBUS_OVP</t>
    </r>
    <r>
      <rPr>
        <sz val="8"/>
        <color theme="1"/>
        <rFont val="Arial"/>
        <family val="2"/>
      </rPr>
      <t xml:space="preserve"> to the peak of the external FET output, R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=10Ω, V</t>
    </r>
    <r>
      <rPr>
        <vertAlign val="subscript"/>
        <sz val="8"/>
        <color theme="1"/>
        <rFont val="Arial"/>
        <family val="2"/>
      </rPr>
      <t>VBUS</t>
    </r>
    <r>
      <rPr>
        <sz val="8"/>
        <color theme="1"/>
        <rFont val="Arial"/>
        <family val="2"/>
      </rPr>
      <t xml:space="preserve"> Rise &gt; 2V/µs </t>
    </r>
  </si>
  <si>
    <r>
      <t>R</t>
    </r>
    <r>
      <rPr>
        <vertAlign val="subscript"/>
        <sz val="8"/>
        <color theme="1"/>
        <rFont val="Arial"/>
        <family val="2"/>
      </rPr>
      <t>DS_ON_SRC</t>
    </r>
  </si>
  <si>
    <r>
      <t>VIN_3V3=3.3V, V5V=5V, I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=100mA, diode mode is disabled, including bonding wire resistance</t>
    </r>
  </si>
  <si>
    <r>
      <t>V</t>
    </r>
    <r>
      <rPr>
        <vertAlign val="subscript"/>
        <sz val="8"/>
        <color theme="1"/>
        <rFont val="Arial"/>
        <family val="2"/>
      </rPr>
      <t>V5V_UVLO</t>
    </r>
  </si>
  <si>
    <r>
      <t>V</t>
    </r>
    <r>
      <rPr>
        <vertAlign val="subscript"/>
        <sz val="8"/>
        <color theme="1"/>
        <rFont val="Arial"/>
        <family val="2"/>
      </rPr>
      <t>V5V_UVLO_HYS</t>
    </r>
  </si>
  <si>
    <r>
      <t>V</t>
    </r>
    <r>
      <rPr>
        <vertAlign val="subscript"/>
        <sz val="8"/>
        <color theme="1"/>
        <rFont val="Arial"/>
        <family val="2"/>
      </rPr>
      <t>V5V</t>
    </r>
    <r>
      <rPr>
        <sz val="8"/>
        <color theme="1"/>
        <rFont val="Arial"/>
        <family val="2"/>
      </rPr>
      <t>_</t>
    </r>
    <r>
      <rPr>
        <vertAlign val="subscript"/>
        <sz val="8"/>
        <color theme="1"/>
        <rFont val="Arial"/>
        <family val="2"/>
      </rPr>
      <t>REG</t>
    </r>
  </si>
  <si>
    <r>
      <t>I</t>
    </r>
    <r>
      <rPr>
        <vertAlign val="subscript"/>
        <sz val="8"/>
        <color theme="1"/>
        <rFont val="Arial"/>
        <family val="2"/>
      </rPr>
      <t>OCP_SRC_RANGE</t>
    </r>
  </si>
  <si>
    <r>
      <t>I</t>
    </r>
    <r>
      <rPr>
        <vertAlign val="subscript"/>
        <sz val="8"/>
        <color theme="1"/>
        <rFont val="Arial"/>
        <family val="2"/>
      </rPr>
      <t>OCP_SRC</t>
    </r>
  </si>
  <si>
    <r>
      <t>V5V=5V, T</t>
    </r>
    <r>
      <rPr>
        <vertAlign val="subscript"/>
        <sz val="8"/>
        <color theme="1"/>
        <rFont val="Arial"/>
        <family val="2"/>
      </rPr>
      <t>A</t>
    </r>
    <r>
      <rPr>
        <sz val="8"/>
        <color theme="1"/>
        <rFont val="Arial"/>
        <family val="2"/>
      </rPr>
      <t xml:space="preserve"> = 25ºC</t>
    </r>
  </si>
  <si>
    <r>
      <t>V5V=5V, T</t>
    </r>
    <r>
      <rPr>
        <vertAlign val="subscript"/>
        <sz val="8"/>
        <color theme="1"/>
        <rFont val="Arial"/>
        <family val="2"/>
      </rPr>
      <t>A</t>
    </r>
    <r>
      <rPr>
        <sz val="8"/>
        <color theme="1"/>
        <rFont val="Arial"/>
        <family val="2"/>
      </rPr>
      <t xml:space="preserve"> = -40ºC ~ 85ºC</t>
    </r>
  </si>
  <si>
    <r>
      <t>V</t>
    </r>
    <r>
      <rPr>
        <vertAlign val="subscript"/>
        <sz val="8"/>
        <color theme="1"/>
        <rFont val="Arial"/>
        <family val="2"/>
      </rPr>
      <t>RCP_SRC</t>
    </r>
  </si>
  <si>
    <r>
      <t>V</t>
    </r>
    <r>
      <rPr>
        <vertAlign val="subscript"/>
        <sz val="8"/>
        <color theme="1"/>
        <rFont val="Arial"/>
        <family val="2"/>
      </rPr>
      <t xml:space="preserve">VBUS_P0/P1 </t>
    </r>
    <r>
      <rPr>
        <sz val="8"/>
        <color theme="1"/>
        <rFont val="Arial"/>
        <family val="2"/>
      </rPr>
      <t>- V</t>
    </r>
    <r>
      <rPr>
        <vertAlign val="subscript"/>
        <sz val="8"/>
        <color theme="1"/>
        <rFont val="Arial"/>
        <family val="2"/>
      </rPr>
      <t>V5V</t>
    </r>
  </si>
  <si>
    <r>
      <t>V</t>
    </r>
    <r>
      <rPr>
        <vertAlign val="subscript"/>
        <sz val="8"/>
        <color theme="1"/>
        <rFont val="Arial"/>
        <family val="2"/>
      </rPr>
      <t>RCPS_SRC</t>
    </r>
  </si>
  <si>
    <r>
      <t>I</t>
    </r>
    <r>
      <rPr>
        <vertAlign val="subscript"/>
        <sz val="8"/>
        <color theme="1"/>
        <rFont val="Arial"/>
        <family val="2"/>
      </rPr>
      <t>LK_V5V_OFF</t>
    </r>
  </si>
  <si>
    <r>
      <t>I</t>
    </r>
    <r>
      <rPr>
        <vertAlign val="subscript"/>
        <sz val="8"/>
        <color theme="1"/>
        <rFont val="Arial"/>
        <family val="2"/>
      </rPr>
      <t>SCP_SRC</t>
    </r>
    <r>
      <rPr>
        <vertAlign val="superscript"/>
        <sz val="8"/>
        <color theme="1"/>
        <rFont val="Arial"/>
        <family val="2"/>
      </rPr>
      <t>(NOTE1)</t>
    </r>
  </si>
  <si>
    <r>
      <t>t</t>
    </r>
    <r>
      <rPr>
        <vertAlign val="subscript"/>
        <sz val="8"/>
        <color theme="1"/>
        <rFont val="Arial"/>
        <family val="2"/>
      </rPr>
      <t>EN_SRC_DELAY</t>
    </r>
    <r>
      <rPr>
        <vertAlign val="superscript"/>
        <sz val="8"/>
        <color theme="1"/>
        <rFont val="Arial"/>
        <family val="2"/>
      </rPr>
      <t>(NOTE1)</t>
    </r>
  </si>
  <si>
    <r>
      <t>V5V ≥ V</t>
    </r>
    <r>
      <rPr>
        <vertAlign val="subscript"/>
        <sz val="8"/>
        <color theme="1"/>
        <rFont val="Arial"/>
        <family val="2"/>
      </rPr>
      <t>V5V_UVLO</t>
    </r>
    <r>
      <rPr>
        <sz val="8"/>
        <color theme="1"/>
        <rFont val="Arial"/>
        <family val="2"/>
      </rPr>
      <t>, time from SRC_EN_P0/P1=1b to VBUS_P0/P1 = 10% of V</t>
    </r>
    <r>
      <rPr>
        <vertAlign val="subscript"/>
        <sz val="8"/>
        <color theme="1"/>
        <rFont val="Arial"/>
        <family val="2"/>
      </rPr>
      <t>V5V</t>
    </r>
    <r>
      <rPr>
        <sz val="8"/>
        <color theme="1"/>
        <rFont val="Arial"/>
        <family val="2"/>
      </rPr>
      <t xml:space="preserve"> at R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 xml:space="preserve"> = 100Ω</t>
    </r>
  </si>
  <si>
    <r>
      <t>t</t>
    </r>
    <r>
      <rPr>
        <vertAlign val="subscript"/>
        <sz val="8"/>
        <color theme="1"/>
        <rFont val="Arial"/>
        <family val="2"/>
      </rPr>
      <t>OCP_DEB</t>
    </r>
    <r>
      <rPr>
        <vertAlign val="superscript"/>
        <sz val="8"/>
        <color theme="1"/>
        <rFont val="Arial"/>
        <family val="2"/>
      </rPr>
      <t>(NOTE1)</t>
    </r>
  </si>
  <si>
    <r>
      <t>t</t>
    </r>
    <r>
      <rPr>
        <vertAlign val="subscript"/>
        <sz val="8"/>
        <color theme="1"/>
        <rFont val="Arial"/>
        <family val="2"/>
      </rPr>
      <t>R_SS_SRC</t>
    </r>
    <r>
      <rPr>
        <vertAlign val="superscript"/>
        <sz val="8"/>
        <color theme="1"/>
        <rFont val="Arial"/>
        <family val="2"/>
      </rPr>
      <t>(NOTE1)</t>
    </r>
  </si>
  <si>
    <r>
      <t>Source Switch soft start Rising Time by I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C enable bit=1b</t>
    </r>
  </si>
  <si>
    <r>
      <t>V</t>
    </r>
    <r>
      <rPr>
        <vertAlign val="subscript"/>
        <sz val="8"/>
        <color theme="1"/>
        <rFont val="Arial"/>
        <family val="2"/>
      </rPr>
      <t xml:space="preserve">VBUS_P0/P1 </t>
    </r>
    <r>
      <rPr>
        <sz val="8"/>
        <color theme="1"/>
        <rFont val="Arial"/>
        <family val="2"/>
      </rPr>
      <t>from 10% to 90% of V</t>
    </r>
    <r>
      <rPr>
        <vertAlign val="subscript"/>
        <sz val="8"/>
        <color theme="1"/>
        <rFont val="Arial"/>
        <family val="2"/>
      </rPr>
      <t>V5V</t>
    </r>
    <r>
      <rPr>
        <sz val="8"/>
        <color theme="1"/>
        <rFont val="Arial"/>
        <family val="2"/>
      </rPr>
      <t xml:space="preserve"> at R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=5Ω, V</t>
    </r>
    <r>
      <rPr>
        <vertAlign val="subscript"/>
        <sz val="8"/>
        <color theme="1"/>
        <rFont val="Arial"/>
        <family val="2"/>
      </rPr>
      <t>V5V</t>
    </r>
    <r>
      <rPr>
        <sz val="8"/>
        <color theme="1"/>
        <rFont val="Arial"/>
        <family val="2"/>
      </rPr>
      <t>=5V, C</t>
    </r>
    <r>
      <rPr>
        <vertAlign val="subscript"/>
        <sz val="8"/>
        <color theme="1"/>
        <rFont val="Arial"/>
        <family val="2"/>
      </rPr>
      <t>VBUS_P0</t>
    </r>
    <r>
      <rPr>
        <sz val="8"/>
        <color theme="1"/>
        <rFont val="Arial"/>
        <family val="2"/>
      </rPr>
      <t>=C</t>
    </r>
    <r>
      <rPr>
        <vertAlign val="subscript"/>
        <sz val="8"/>
        <color theme="1"/>
        <rFont val="Arial"/>
        <family val="2"/>
      </rPr>
      <t>VBUS_P1</t>
    </r>
    <r>
      <rPr>
        <sz val="8"/>
        <color theme="1"/>
        <rFont val="Arial"/>
        <family val="2"/>
      </rPr>
      <t>=10µF</t>
    </r>
  </si>
  <si>
    <r>
      <t>t</t>
    </r>
    <r>
      <rPr>
        <vertAlign val="subscript"/>
        <sz val="8"/>
        <color theme="1"/>
        <rFont val="Arial"/>
        <family val="2"/>
      </rPr>
      <t>OFF_SRC</t>
    </r>
    <r>
      <rPr>
        <vertAlign val="superscript"/>
        <sz val="8"/>
        <color theme="1"/>
        <rFont val="Arial"/>
        <family val="2"/>
      </rPr>
      <t>(NOTE1)</t>
    </r>
  </si>
  <si>
    <r>
      <t>V</t>
    </r>
    <r>
      <rPr>
        <vertAlign val="subscript"/>
        <sz val="8"/>
        <color theme="1"/>
        <rFont val="Arial"/>
        <family val="2"/>
      </rPr>
      <t>V5V</t>
    </r>
    <r>
      <rPr>
        <sz val="8"/>
        <color theme="1"/>
        <rFont val="Arial"/>
        <family val="2"/>
      </rPr>
      <t>=5V, from FRS_EN_P0/P1 pin =L or enable bits=0b to V</t>
    </r>
    <r>
      <rPr>
        <vertAlign val="subscript"/>
        <sz val="8"/>
        <color theme="1"/>
        <rFont val="Arial"/>
        <family val="2"/>
      </rPr>
      <t>VBUS_P0/P1</t>
    </r>
    <r>
      <rPr>
        <sz val="8"/>
        <color theme="1"/>
        <rFont val="Arial"/>
        <family val="2"/>
      </rPr>
      <t xml:space="preserve"> = 90% of V</t>
    </r>
    <r>
      <rPr>
        <vertAlign val="subscript"/>
        <sz val="8"/>
        <color theme="1"/>
        <rFont val="Arial"/>
        <family val="2"/>
      </rPr>
      <t>V5V</t>
    </r>
    <r>
      <rPr>
        <sz val="8"/>
        <color theme="1"/>
        <rFont val="Arial"/>
        <family val="2"/>
      </rPr>
      <t xml:space="preserve"> at R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=10Ω</t>
    </r>
  </si>
  <si>
    <r>
      <t>t</t>
    </r>
    <r>
      <rPr>
        <vertAlign val="subscript"/>
        <sz val="8"/>
        <color theme="1"/>
        <rFont val="Arial"/>
        <family val="2"/>
      </rPr>
      <t>RCPS_SRC</t>
    </r>
    <r>
      <rPr>
        <vertAlign val="superscript"/>
        <sz val="8"/>
        <color theme="1"/>
        <rFont val="Arial"/>
        <family val="2"/>
      </rPr>
      <t>(NOTE1)</t>
    </r>
  </si>
  <si>
    <r>
      <t>t</t>
    </r>
    <r>
      <rPr>
        <vertAlign val="subscript"/>
        <sz val="8"/>
        <color theme="1"/>
        <rFont val="Arial"/>
        <family val="2"/>
      </rPr>
      <t>RCP_SRC_DEG</t>
    </r>
    <r>
      <rPr>
        <vertAlign val="superscript"/>
        <sz val="8"/>
        <color theme="1"/>
        <rFont val="Arial"/>
        <family val="2"/>
      </rPr>
      <t>(NOTE1)</t>
    </r>
  </si>
  <si>
    <r>
      <t>t</t>
    </r>
    <r>
      <rPr>
        <vertAlign val="subscript"/>
        <sz val="8"/>
        <color theme="1"/>
        <rFont val="Arial"/>
        <family val="2"/>
      </rPr>
      <t>SRC_FRS</t>
    </r>
    <r>
      <rPr>
        <vertAlign val="superscript"/>
        <sz val="8"/>
        <color theme="1"/>
        <rFont val="Arial"/>
        <family val="2"/>
      </rPr>
      <t>(NOTE1)</t>
    </r>
  </si>
  <si>
    <r>
      <t>V</t>
    </r>
    <r>
      <rPr>
        <vertAlign val="subscript"/>
        <sz val="8"/>
        <color theme="1"/>
        <rFont val="Arial"/>
        <family val="2"/>
      </rPr>
      <t>V5V</t>
    </r>
    <r>
      <rPr>
        <sz val="8"/>
        <color theme="1"/>
        <rFont val="Arial"/>
        <family val="2"/>
      </rPr>
      <t>=5V, from V</t>
    </r>
    <r>
      <rPr>
        <vertAlign val="subscript"/>
        <sz val="8"/>
        <color theme="1"/>
        <rFont val="Arial"/>
        <family val="2"/>
      </rPr>
      <t xml:space="preserve">RCPS_SRC </t>
    </r>
    <r>
      <rPr>
        <sz val="8"/>
        <color theme="1"/>
        <rFont val="Arial"/>
        <family val="2"/>
      </rPr>
      <t>to 95% V</t>
    </r>
    <r>
      <rPr>
        <vertAlign val="subscript"/>
        <sz val="8"/>
        <color theme="1"/>
        <rFont val="Arial"/>
        <family val="2"/>
      </rPr>
      <t xml:space="preserve">V5V </t>
    </r>
    <r>
      <rPr>
        <sz val="8"/>
        <color theme="1"/>
        <rFont val="Arial"/>
        <family val="2"/>
      </rPr>
      <t>on VBUS_P0/P1 at C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=10µF, R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=10Ω, FRS_EN_CFG_P0/P1=1b</t>
    </r>
  </si>
  <si>
    <r>
      <t>R</t>
    </r>
    <r>
      <rPr>
        <vertAlign val="subscript"/>
        <sz val="8"/>
        <color theme="1"/>
        <rFont val="Arial"/>
        <family val="2"/>
      </rPr>
      <t>ON_CC</t>
    </r>
  </si>
  <si>
    <r>
      <t>VIN_3V3=3.3V, Bias voltage ≤ 3.0V &amp; I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=40mA, including bonding wire resistance</t>
    </r>
  </si>
  <si>
    <r>
      <t>V</t>
    </r>
    <r>
      <rPr>
        <vertAlign val="subscript"/>
        <sz val="8"/>
        <color theme="1"/>
        <rFont val="Arial"/>
        <family val="2"/>
      </rPr>
      <t>CC_OVP</t>
    </r>
  </si>
  <si>
    <r>
      <t>Programmable, rising to turn off both CC1 &amp; CC2 switches at the same port in both CC SW=ON mode and VCONN SW enabled and turn on the R</t>
    </r>
    <r>
      <rPr>
        <vertAlign val="subscript"/>
        <sz val="8"/>
        <color theme="1"/>
        <rFont val="Arial"/>
        <family val="2"/>
      </rPr>
      <t>CC_DIS</t>
    </r>
  </si>
  <si>
    <r>
      <t>V</t>
    </r>
    <r>
      <rPr>
        <vertAlign val="subscript"/>
        <sz val="8"/>
        <color theme="1"/>
        <rFont val="Arial"/>
        <family val="2"/>
      </rPr>
      <t>CC_OVP_HYS</t>
    </r>
  </si>
  <si>
    <r>
      <t>t</t>
    </r>
    <r>
      <rPr>
        <vertAlign val="subscript"/>
        <sz val="8"/>
        <color theme="1"/>
        <rFont val="Arial"/>
        <family val="2"/>
      </rPr>
      <t>CC_OVP</t>
    </r>
    <r>
      <rPr>
        <vertAlign val="superscript"/>
        <sz val="8"/>
        <color theme="1"/>
        <rFont val="Arial"/>
        <family val="2"/>
      </rPr>
      <t>(NOTE1)</t>
    </r>
  </si>
  <si>
    <t>OVP trip to turn off CC switch (&gt; 2V/µs slope)</t>
  </si>
  <si>
    <r>
      <t>t</t>
    </r>
    <r>
      <rPr>
        <vertAlign val="subscript"/>
        <sz val="8"/>
        <color theme="1"/>
        <rFont val="Arial"/>
        <family val="2"/>
      </rPr>
      <t>CC_OVP_REC</t>
    </r>
    <r>
      <rPr>
        <vertAlign val="superscript"/>
        <sz val="8"/>
        <color theme="1"/>
        <rFont val="Arial"/>
        <family val="2"/>
      </rPr>
      <t>(NOTE1)</t>
    </r>
  </si>
  <si>
    <t>OVP Falling Auto-Recovery Time</t>
  </si>
  <si>
    <r>
      <t>Delay time from V</t>
    </r>
    <r>
      <rPr>
        <vertAlign val="subscript"/>
        <sz val="8"/>
        <color theme="1"/>
        <rFont val="Arial"/>
        <family val="2"/>
      </rPr>
      <t xml:space="preserve">CC_OVP_HYS </t>
    </r>
    <r>
      <rPr>
        <sz val="8"/>
        <color theme="1"/>
        <rFont val="Arial"/>
        <family val="2"/>
      </rPr>
      <t>detected to re-enable CC switch in being enabled</t>
    </r>
  </si>
  <si>
    <r>
      <t>BW</t>
    </r>
    <r>
      <rPr>
        <vertAlign val="subscript"/>
        <sz val="8"/>
        <color theme="1"/>
        <rFont val="Arial"/>
        <family val="2"/>
      </rPr>
      <t>CC</t>
    </r>
    <r>
      <rPr>
        <vertAlign val="superscript"/>
        <sz val="8"/>
        <color theme="1"/>
        <rFont val="Arial"/>
        <family val="2"/>
      </rPr>
      <t>(NOTE1)</t>
    </r>
  </si>
  <si>
    <r>
      <t>Single ended, 50Ω termination, V</t>
    </r>
    <r>
      <rPr>
        <vertAlign val="subscript"/>
        <sz val="8"/>
        <color theme="1"/>
        <rFont val="Arial"/>
        <family val="2"/>
      </rPr>
      <t>SIG</t>
    </r>
    <r>
      <rPr>
        <sz val="8"/>
        <color theme="1"/>
        <rFont val="Arial"/>
        <family val="2"/>
      </rPr>
      <t xml:space="preserve"> = 0.1V to 1.2V</t>
    </r>
  </si>
  <si>
    <r>
      <t>I</t>
    </r>
    <r>
      <rPr>
        <vertAlign val="subscript"/>
        <sz val="8"/>
        <color theme="1"/>
        <rFont val="Arial"/>
        <family val="2"/>
      </rPr>
      <t>CC_LEAK</t>
    </r>
  </si>
  <si>
    <r>
      <t>CC pin leakage current in R</t>
    </r>
    <r>
      <rPr>
        <vertAlign val="subscript"/>
        <sz val="8"/>
        <color theme="1"/>
        <rFont val="Arial"/>
        <family val="2"/>
      </rPr>
      <t>d_DB</t>
    </r>
    <r>
      <rPr>
        <sz val="8"/>
        <color theme="1"/>
        <rFont val="Arial"/>
        <family val="2"/>
      </rPr>
      <t xml:space="preserve"> disabled</t>
    </r>
  </si>
  <si>
    <r>
      <t>V</t>
    </r>
    <r>
      <rPr>
        <vertAlign val="subscript"/>
        <sz val="8"/>
        <color theme="1"/>
        <rFont val="Arial"/>
        <family val="2"/>
      </rPr>
      <t>VIN_3V3</t>
    </r>
    <r>
      <rPr>
        <sz val="8"/>
        <color theme="1"/>
        <rFont val="Arial"/>
        <family val="2"/>
      </rPr>
      <t>=3.3V, V</t>
    </r>
    <r>
      <rPr>
        <vertAlign val="subscript"/>
        <sz val="8"/>
        <color theme="1"/>
        <rFont val="Arial"/>
        <family val="2"/>
      </rPr>
      <t>CC1/2_P0/1</t>
    </r>
    <r>
      <rPr>
        <sz val="8"/>
        <color theme="1"/>
        <rFont val="Arial"/>
        <family val="2"/>
      </rPr>
      <t>=3.6V, CC1/2_SYS_P0/1 pin is float</t>
    </r>
  </si>
  <si>
    <r>
      <t>R</t>
    </r>
    <r>
      <rPr>
        <vertAlign val="subscript"/>
        <sz val="8"/>
        <color theme="1"/>
        <rFont val="Arial"/>
        <family val="2"/>
      </rPr>
      <t>d_DB</t>
    </r>
  </si>
  <si>
    <r>
      <t>V</t>
    </r>
    <r>
      <rPr>
        <vertAlign val="subscript"/>
        <sz val="8"/>
        <color theme="1"/>
        <rFont val="Arial"/>
        <family val="2"/>
      </rPr>
      <t>CC1/2_P0/1</t>
    </r>
    <r>
      <rPr>
        <sz val="8"/>
        <color theme="1"/>
        <rFont val="Arial"/>
        <family val="2"/>
      </rPr>
      <t xml:space="preserve"> &gt; 1.5V &amp; V</t>
    </r>
    <r>
      <rPr>
        <vertAlign val="subscript"/>
        <sz val="8"/>
        <color theme="1"/>
        <rFont val="Arial"/>
        <family val="2"/>
      </rPr>
      <t>VIN_3V3</t>
    </r>
    <r>
      <rPr>
        <sz val="8"/>
        <color theme="1"/>
        <rFont val="Arial"/>
        <family val="2"/>
      </rPr>
      <t xml:space="preserve"> &lt; V</t>
    </r>
    <r>
      <rPr>
        <vertAlign val="subscript"/>
        <sz val="8"/>
        <color theme="1"/>
        <rFont val="Arial"/>
        <family val="2"/>
      </rPr>
      <t>VIN_3V3_UVLO</t>
    </r>
  </si>
  <si>
    <r>
      <t>R</t>
    </r>
    <r>
      <rPr>
        <vertAlign val="subscript"/>
        <sz val="8"/>
        <color theme="1"/>
        <rFont val="Arial"/>
        <family val="2"/>
      </rPr>
      <t>CC_DIS</t>
    </r>
  </si>
  <si>
    <r>
      <t>R</t>
    </r>
    <r>
      <rPr>
        <vertAlign val="subscript"/>
        <sz val="8"/>
        <color theme="1"/>
        <rFont val="Arial"/>
        <family val="2"/>
      </rPr>
      <t>ON_VCONN</t>
    </r>
  </si>
  <si>
    <r>
      <t>VCONN Switch R</t>
    </r>
    <r>
      <rPr>
        <vertAlign val="subscript"/>
        <sz val="8"/>
        <color theme="1"/>
        <rFont val="Arial"/>
        <family val="2"/>
      </rPr>
      <t>DS_ON</t>
    </r>
  </si>
  <si>
    <r>
      <t>V</t>
    </r>
    <r>
      <rPr>
        <vertAlign val="subscript"/>
        <sz val="8"/>
        <color theme="1"/>
        <rFont val="Arial"/>
        <family val="2"/>
      </rPr>
      <t>VIN_3V3</t>
    </r>
    <r>
      <rPr>
        <sz val="8"/>
        <color theme="1"/>
        <rFont val="Arial"/>
        <family val="2"/>
      </rPr>
      <t>=3.3V, I</t>
    </r>
    <r>
      <rPr>
        <vertAlign val="subscript"/>
        <sz val="8"/>
        <color theme="1"/>
        <rFont val="Arial"/>
        <family val="2"/>
      </rPr>
      <t>VCONN</t>
    </r>
    <r>
      <rPr>
        <sz val="8"/>
        <color theme="1"/>
        <rFont val="Arial"/>
        <family val="2"/>
      </rPr>
      <t xml:space="preserve">=100mA, including bonding wire resistance </t>
    </r>
  </si>
  <si>
    <r>
      <t>I</t>
    </r>
    <r>
      <rPr>
        <vertAlign val="subscript"/>
        <sz val="8"/>
        <color theme="1"/>
        <rFont val="Arial"/>
        <family val="2"/>
      </rPr>
      <t>OCP_VCONN</t>
    </r>
  </si>
  <si>
    <r>
      <t>Programmable over I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C</t>
    </r>
  </si>
  <si>
    <r>
      <t>I</t>
    </r>
    <r>
      <rPr>
        <vertAlign val="subscript"/>
        <sz val="8"/>
        <color theme="1"/>
        <rFont val="Arial"/>
        <family val="2"/>
      </rPr>
      <t>OCP_VCONN_ACC</t>
    </r>
  </si>
  <si>
    <r>
      <t>t</t>
    </r>
    <r>
      <rPr>
        <vertAlign val="subscript"/>
        <sz val="8"/>
        <color theme="1"/>
        <rFont val="Arial"/>
        <family val="2"/>
      </rPr>
      <t>OCP</t>
    </r>
    <r>
      <rPr>
        <sz val="8"/>
        <color theme="1"/>
        <rFont val="Arial"/>
        <family val="2"/>
      </rPr>
      <t>_</t>
    </r>
    <r>
      <rPr>
        <vertAlign val="subscript"/>
        <sz val="8"/>
        <color theme="1"/>
        <rFont val="Arial"/>
        <family val="2"/>
      </rPr>
      <t>VCONN_DEG</t>
    </r>
  </si>
  <si>
    <r>
      <t>t</t>
    </r>
    <r>
      <rPr>
        <vertAlign val="subscript"/>
        <sz val="8"/>
        <color theme="1"/>
        <rFont val="Arial"/>
        <family val="2"/>
      </rPr>
      <t>CC_OVP_VCONN</t>
    </r>
    <r>
      <rPr>
        <vertAlign val="superscript"/>
        <sz val="8"/>
        <color theme="1"/>
        <rFont val="Arial"/>
        <family val="2"/>
      </rPr>
      <t>(NOTE1)</t>
    </r>
  </si>
  <si>
    <r>
      <t>t</t>
    </r>
    <r>
      <rPr>
        <vertAlign val="subscript"/>
        <sz val="8"/>
        <color theme="1"/>
        <rFont val="Arial"/>
        <family val="2"/>
      </rPr>
      <t>CC_OVP_REC</t>
    </r>
  </si>
  <si>
    <r>
      <t>From V</t>
    </r>
    <r>
      <rPr>
        <vertAlign val="subscript"/>
        <sz val="8"/>
        <color theme="1"/>
        <rFont val="Arial"/>
        <family val="2"/>
      </rPr>
      <t xml:space="preserve">CC_OVP_VCONN_HYS </t>
    </r>
    <r>
      <rPr>
        <sz val="8"/>
        <color theme="1"/>
        <rFont val="Arial"/>
        <family val="2"/>
      </rPr>
      <t>detected to re-enable VCONN enabled and non-VCONN SW</t>
    </r>
  </si>
  <si>
    <r>
      <t>t</t>
    </r>
    <r>
      <rPr>
        <vertAlign val="subscript"/>
        <sz val="8"/>
        <color theme="1"/>
        <rFont val="Arial"/>
        <family val="2"/>
      </rPr>
      <t>R_VCONN</t>
    </r>
    <r>
      <rPr>
        <vertAlign val="superscript"/>
        <sz val="8"/>
        <color theme="1"/>
        <rFont val="Arial"/>
        <family val="2"/>
      </rPr>
      <t>(NOTE1)</t>
    </r>
  </si>
  <si>
    <r>
      <t>R</t>
    </r>
    <r>
      <rPr>
        <vertAlign val="subscript"/>
        <sz val="8"/>
        <color theme="1"/>
        <rFont val="Arial"/>
        <family val="2"/>
      </rPr>
      <t>VCONN_DIS</t>
    </r>
  </si>
  <si>
    <r>
      <t>In the R</t>
    </r>
    <r>
      <rPr>
        <vertAlign val="subscript"/>
        <sz val="8"/>
        <color theme="1"/>
        <rFont val="Arial"/>
        <family val="2"/>
      </rPr>
      <t>d_DB</t>
    </r>
    <r>
      <rPr>
        <sz val="8"/>
        <color theme="1"/>
        <rFont val="Arial"/>
        <family val="2"/>
      </rPr>
      <t xml:space="preserve"> enabled</t>
    </r>
  </si>
  <si>
    <r>
      <t>R</t>
    </r>
    <r>
      <rPr>
        <vertAlign val="subscript"/>
        <sz val="8"/>
        <color theme="1"/>
        <rFont val="Arial"/>
        <family val="2"/>
      </rPr>
      <t>ON_SBU</t>
    </r>
  </si>
  <si>
    <r>
      <t>V</t>
    </r>
    <r>
      <rPr>
        <vertAlign val="subscript"/>
        <sz val="8"/>
        <color theme="1"/>
        <rFont val="Arial"/>
        <family val="2"/>
      </rPr>
      <t>VIN_3V3</t>
    </r>
    <r>
      <rPr>
        <sz val="8"/>
        <color theme="1"/>
        <rFont val="Arial"/>
        <family val="2"/>
      </rPr>
      <t>=3.3V, bias voltage ≤ 3.0V &amp; I</t>
    </r>
    <r>
      <rPr>
        <vertAlign val="subscript"/>
        <sz val="8"/>
        <color theme="1"/>
        <rFont val="Arial"/>
        <family val="2"/>
      </rPr>
      <t>LOAD</t>
    </r>
    <r>
      <rPr>
        <sz val="8"/>
        <color theme="1"/>
        <rFont val="Arial"/>
        <family val="2"/>
      </rPr>
      <t>=40mA including bonding wire resistance</t>
    </r>
  </si>
  <si>
    <r>
      <t>V</t>
    </r>
    <r>
      <rPr>
        <vertAlign val="subscript"/>
        <sz val="8"/>
        <color theme="1"/>
        <rFont val="Arial"/>
        <family val="2"/>
      </rPr>
      <t>SBU_OVP</t>
    </r>
  </si>
  <si>
    <r>
      <t>V</t>
    </r>
    <r>
      <rPr>
        <vertAlign val="subscript"/>
        <sz val="8"/>
        <color theme="1"/>
        <rFont val="Arial"/>
        <family val="2"/>
      </rPr>
      <t>SBU_OVP_HYS</t>
    </r>
  </si>
  <si>
    <r>
      <t>Falling to re-enable the switch over t</t>
    </r>
    <r>
      <rPr>
        <vertAlign val="subscript"/>
        <sz val="8"/>
        <color theme="1"/>
        <rFont val="Arial"/>
        <family val="2"/>
      </rPr>
      <t xml:space="preserve">SBU_OVP_REC </t>
    </r>
    <r>
      <rPr>
        <sz val="8"/>
        <color theme="1"/>
        <rFont val="Arial"/>
        <family val="2"/>
      </rPr>
      <t>in auto-recovery mode enabled</t>
    </r>
  </si>
  <si>
    <r>
      <t>t</t>
    </r>
    <r>
      <rPr>
        <vertAlign val="subscript"/>
        <sz val="8"/>
        <color theme="1"/>
        <rFont val="Arial"/>
        <family val="2"/>
      </rPr>
      <t>SBU_SW_ON</t>
    </r>
    <r>
      <rPr>
        <vertAlign val="superscript"/>
        <sz val="8"/>
        <color theme="1"/>
        <rFont val="Arial"/>
        <family val="2"/>
      </rPr>
      <t>(NOTE1)</t>
    </r>
  </si>
  <si>
    <r>
      <t>Switch turn-on time from 10% of V</t>
    </r>
    <r>
      <rPr>
        <vertAlign val="subscript"/>
        <sz val="8"/>
        <color theme="1"/>
        <rFont val="Arial"/>
        <family val="2"/>
      </rPr>
      <t>SBU1/2_P0/P1</t>
    </r>
    <r>
      <rPr>
        <sz val="8"/>
        <color theme="1"/>
        <rFont val="Arial"/>
        <family val="2"/>
      </rPr>
      <t xml:space="preserve"> to 90% of V</t>
    </r>
    <r>
      <rPr>
        <vertAlign val="subscript"/>
        <sz val="8"/>
        <color theme="1"/>
        <rFont val="Arial"/>
        <family val="2"/>
      </rPr>
      <t>SBU1/2_P0/P1</t>
    </r>
    <r>
      <rPr>
        <sz val="8"/>
        <color theme="1"/>
        <rFont val="Arial"/>
        <family val="2"/>
      </rPr>
      <t xml:space="preserve"> over I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C command or OV condition released </t>
    </r>
  </si>
  <si>
    <r>
      <t>t</t>
    </r>
    <r>
      <rPr>
        <vertAlign val="subscript"/>
        <sz val="8"/>
        <color theme="1"/>
        <rFont val="Arial"/>
        <family val="2"/>
      </rPr>
      <t>SBU_OVP</t>
    </r>
    <r>
      <rPr>
        <vertAlign val="superscript"/>
        <sz val="8"/>
        <color theme="1"/>
        <rFont val="Arial"/>
        <family val="2"/>
      </rPr>
      <t>(NOTE1)</t>
    </r>
  </si>
  <si>
    <r>
      <t>Programmable over I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C, time from OVP trip to Switch Off </t>
    </r>
  </si>
  <si>
    <r>
      <t>t</t>
    </r>
    <r>
      <rPr>
        <vertAlign val="subscript"/>
        <sz val="8"/>
        <color theme="1"/>
        <rFont val="Arial"/>
        <family val="2"/>
      </rPr>
      <t>SBU_OVP_REC</t>
    </r>
    <r>
      <rPr>
        <vertAlign val="superscript"/>
        <sz val="8"/>
        <color theme="1"/>
        <rFont val="Arial"/>
        <family val="2"/>
      </rPr>
      <t>(NOTE1)</t>
    </r>
  </si>
  <si>
    <r>
      <t>From V</t>
    </r>
    <r>
      <rPr>
        <vertAlign val="subscript"/>
        <sz val="8"/>
        <color theme="1"/>
        <rFont val="Arial"/>
        <family val="2"/>
      </rPr>
      <t xml:space="preserve">SBU_OVP_HYS </t>
    </r>
    <r>
      <rPr>
        <sz val="8"/>
        <color theme="1"/>
        <rFont val="Arial"/>
        <family val="2"/>
      </rPr>
      <t>detected to re-enable switch in being enabled</t>
    </r>
  </si>
  <si>
    <r>
      <t>BW</t>
    </r>
    <r>
      <rPr>
        <vertAlign val="subscript"/>
        <sz val="8"/>
        <color theme="1"/>
        <rFont val="Arial"/>
        <family val="2"/>
      </rPr>
      <t>SBU</t>
    </r>
    <r>
      <rPr>
        <vertAlign val="superscript"/>
        <sz val="8"/>
        <color theme="1"/>
        <rFont val="Arial"/>
        <family val="2"/>
      </rPr>
      <t>(NOTE1)</t>
    </r>
  </si>
  <si>
    <r>
      <t>Single ended, 50Ω termination, V</t>
    </r>
    <r>
      <rPr>
        <vertAlign val="subscript"/>
        <sz val="8"/>
        <color theme="1"/>
        <rFont val="Arial"/>
        <family val="2"/>
      </rPr>
      <t>SBUx</t>
    </r>
    <r>
      <rPr>
        <sz val="8"/>
        <color theme="1"/>
        <rFont val="Arial"/>
        <family val="2"/>
      </rPr>
      <t xml:space="preserve"> =1.8V</t>
    </r>
  </si>
  <si>
    <r>
      <t>R</t>
    </r>
    <r>
      <rPr>
        <vertAlign val="subscript"/>
        <sz val="8"/>
        <color theme="1"/>
        <rFont val="Arial"/>
        <family val="2"/>
      </rPr>
      <t>SBU_DIS</t>
    </r>
  </si>
  <si>
    <r>
      <t>V</t>
    </r>
    <r>
      <rPr>
        <vertAlign val="subscript"/>
        <sz val="8"/>
        <color theme="1"/>
        <rFont val="Arial"/>
        <family val="2"/>
      </rPr>
      <t>VBUS_OUT_RANGE</t>
    </r>
  </si>
  <si>
    <r>
      <t>CON</t>
    </r>
    <r>
      <rPr>
        <vertAlign val="subscript"/>
        <sz val="8"/>
        <color theme="1"/>
        <rFont val="Arial"/>
        <family val="2"/>
      </rPr>
      <t>Ratio_VOL</t>
    </r>
  </si>
  <si>
    <r>
      <t>Conversion ratio via each pin</t>
    </r>
    <r>
      <rPr>
        <vertAlign val="superscript"/>
        <sz val="8"/>
        <color theme="1"/>
        <rFont val="Arial"/>
        <family val="2"/>
      </rPr>
      <t xml:space="preserve"> (NOTE1)</t>
    </r>
  </si>
  <si>
    <r>
      <t>V</t>
    </r>
    <r>
      <rPr>
        <vertAlign val="subscript"/>
        <sz val="8"/>
        <color theme="1"/>
        <rFont val="Arial"/>
        <family val="2"/>
      </rPr>
      <t>V5V_OUT_RANGE</t>
    </r>
  </si>
  <si>
    <r>
      <t>Conversion ratio</t>
    </r>
    <r>
      <rPr>
        <vertAlign val="superscript"/>
        <sz val="8"/>
        <color theme="1"/>
        <rFont val="Arial"/>
        <family val="2"/>
      </rPr>
      <t xml:space="preserve"> (NOTE1)</t>
    </r>
  </si>
  <si>
    <r>
      <t>V</t>
    </r>
    <r>
      <rPr>
        <vertAlign val="subscript"/>
        <sz val="8"/>
        <color theme="1"/>
        <rFont val="Arial"/>
        <family val="2"/>
      </rPr>
      <t>SRC_OUT_RANGE</t>
    </r>
  </si>
  <si>
    <r>
      <t>Accuracy</t>
    </r>
    <r>
      <rPr>
        <vertAlign val="superscript"/>
        <sz val="8"/>
        <color theme="1"/>
        <rFont val="Arial"/>
        <family val="2"/>
      </rPr>
      <t>(NOTE1)</t>
    </r>
  </si>
  <si>
    <t>Source current ≤ 1A</t>
  </si>
  <si>
    <r>
      <t>CON</t>
    </r>
    <r>
      <rPr>
        <vertAlign val="subscript"/>
        <sz val="8"/>
        <color theme="1"/>
        <rFont val="Arial"/>
        <family val="2"/>
      </rPr>
      <t>Ratio_CUR</t>
    </r>
  </si>
  <si>
    <r>
      <t>I</t>
    </r>
    <r>
      <rPr>
        <b/>
        <vertAlign val="superscript"/>
        <sz val="9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C Specification</t>
    </r>
  </si>
  <si>
    <r>
      <t>V</t>
    </r>
    <r>
      <rPr>
        <vertAlign val="subscript"/>
        <sz val="8"/>
        <color rgb="FF000000"/>
        <rFont val="Arial"/>
        <family val="2"/>
      </rPr>
      <t>IH_I2C</t>
    </r>
  </si>
  <si>
    <r>
      <t>V</t>
    </r>
    <r>
      <rPr>
        <vertAlign val="subscript"/>
        <sz val="8"/>
        <color rgb="FF000000"/>
        <rFont val="Arial"/>
        <family val="2"/>
      </rPr>
      <t>IL_I2C</t>
    </r>
  </si>
  <si>
    <r>
      <t>R</t>
    </r>
    <r>
      <rPr>
        <vertAlign val="subscript"/>
        <sz val="8"/>
        <color rgb="FF000000"/>
        <rFont val="Arial"/>
        <family val="2"/>
      </rPr>
      <t>PULLUP_I2C</t>
    </r>
  </si>
  <si>
    <r>
      <t>V</t>
    </r>
    <r>
      <rPr>
        <vertAlign val="subscript"/>
        <sz val="8"/>
        <color rgb="FF000000"/>
        <rFont val="Arial"/>
        <family val="2"/>
      </rPr>
      <t>OL_I2C</t>
    </r>
  </si>
  <si>
    <r>
      <t>f</t>
    </r>
    <r>
      <rPr>
        <vertAlign val="subscript"/>
        <sz val="9"/>
        <color rgb="FF000000"/>
        <rFont val="Arial"/>
        <family val="2"/>
      </rPr>
      <t>SCL</t>
    </r>
  </si>
  <si>
    <t>HL5083A-BD Datasheet vs Test Item Coverage</t>
    <phoneticPr fontId="3" type="noConversion"/>
  </si>
  <si>
    <t>按3%的话是(3.007,3.193)V</t>
    <phoneticPr fontId="3" type="noConversion"/>
  </si>
  <si>
    <t>SITE_CK</t>
  </si>
  <si>
    <t>BD_CK</t>
  </si>
  <si>
    <t>PARTNAME</t>
  </si>
  <si>
    <t>DIE_VERSION</t>
  </si>
  <si>
    <t>SCAN_LOAD</t>
  </si>
  <si>
    <t>OS_VBUS_P0</t>
  </si>
  <si>
    <t>OS_CC1_P0</t>
  </si>
  <si>
    <t>OS_CC2_P0</t>
  </si>
  <si>
    <t>OS_SBU1_P0</t>
  </si>
  <si>
    <t>OS_SBU2_P0</t>
  </si>
  <si>
    <t>OS_SBU_OVP_P0</t>
  </si>
  <si>
    <t>OS_FRS_EN_P0</t>
  </si>
  <si>
    <t>OS_SBU1_OUT_P0</t>
  </si>
  <si>
    <t>OS_PA_20V5A_OFF</t>
  </si>
  <si>
    <t>OS_VBUS_DIV_P0</t>
  </si>
  <si>
    <t>OS_CC1_SYS_P0</t>
  </si>
  <si>
    <t>OS_CC2_SYS_P0</t>
  </si>
  <si>
    <t>OS_SRC_CUR_P0</t>
  </si>
  <si>
    <t>OS_V5V_DIV</t>
  </si>
  <si>
    <t>OS_SNK_CTL_P0</t>
  </si>
  <si>
    <t>OS_SBU2_OUT_P0</t>
  </si>
  <si>
    <t>OS_VBUS_OUT_SENS_P0</t>
  </si>
  <si>
    <t>OS_VBUS_P1</t>
  </si>
  <si>
    <t>OS_CC1_P1</t>
  </si>
  <si>
    <t>OS_CC2_P1</t>
  </si>
  <si>
    <t>OS_SBU1_P1</t>
  </si>
  <si>
    <t>OS_SBU2_P1</t>
  </si>
  <si>
    <t>OS_SBU_OVP_P1</t>
  </si>
  <si>
    <t>OS_FRS_EN_P1</t>
  </si>
  <si>
    <t>OS_SBU1_OUT_P1</t>
  </si>
  <si>
    <t>OS_PB_20V5A_OFF</t>
  </si>
  <si>
    <t>OS_VBUS_DIV_P1</t>
  </si>
  <si>
    <t>OS_CC1_SYS_P1</t>
  </si>
  <si>
    <t>OS_CC2_SYS_P1</t>
  </si>
  <si>
    <t>OS_SRC_CUR_P1</t>
  </si>
  <si>
    <t>OS_SNK_CTL_P1</t>
  </si>
  <si>
    <t>OS_SBU2_OUT_P1</t>
  </si>
  <si>
    <t>OS_VBUS_OUT_SENS_P1</t>
  </si>
  <si>
    <t>OS_VIN_3V3</t>
  </si>
  <si>
    <t>OS_CESD</t>
  </si>
  <si>
    <t>OS_INTB</t>
  </si>
  <si>
    <t>OS_LDO3V3</t>
  </si>
  <si>
    <t>OS_V5V</t>
  </si>
  <si>
    <t>OS_RPD1_P0</t>
  </si>
  <si>
    <t>OS_RPD2_P0</t>
  </si>
  <si>
    <t>OS_RPD1_P1</t>
  </si>
  <si>
    <t>OS_RPD2_P1</t>
  </si>
  <si>
    <t>P2P_VBUS_P0</t>
  </si>
  <si>
    <t>P2P_CC1_P0</t>
  </si>
  <si>
    <t>P2P_CC2_P0</t>
  </si>
  <si>
    <t>P2P_SBU1_P0</t>
  </si>
  <si>
    <t>P2P_SBU2_P0</t>
  </si>
  <si>
    <t>P2P_SBU_OVP_P0</t>
  </si>
  <si>
    <t>P2P_FRS_EN_P0</t>
  </si>
  <si>
    <t>P2P_SBU1_OUT_P0</t>
  </si>
  <si>
    <t>P2P_PA_20V5A_OFF</t>
  </si>
  <si>
    <t>P2P_VBUS_DIV_P0</t>
  </si>
  <si>
    <t>P2P_CC1_SYS_P0</t>
  </si>
  <si>
    <t>P2P_CC2_SYS_P0</t>
  </si>
  <si>
    <t>P2P_SRC_CUR_P0</t>
  </si>
  <si>
    <t>P2P_V5V_DIV</t>
  </si>
  <si>
    <t>P2P_SNK_CTL_P0</t>
  </si>
  <si>
    <t>P2P_SBU2_OUT_P0</t>
  </si>
  <si>
    <t>P2P_VBUS_OUT_SENS_P0</t>
  </si>
  <si>
    <t>P2P_VBUS_P1</t>
  </si>
  <si>
    <t>P2P_CC1_P1</t>
  </si>
  <si>
    <t>P2P_CC2_P1</t>
  </si>
  <si>
    <t>P2P_SBU1_P1</t>
  </si>
  <si>
    <t>P2P_SBU2_P1</t>
  </si>
  <si>
    <t>P2P_SBU_OVP_P1</t>
  </si>
  <si>
    <t>P2P_FRS_EN_P1</t>
  </si>
  <si>
    <t>P2P_SBU1_OUT_P1</t>
  </si>
  <si>
    <t>P2P_PB_20V5A_OFF</t>
  </si>
  <si>
    <t>P2P_VBUS_DIV_P1</t>
  </si>
  <si>
    <t>P2P_CC1_SYS_P1</t>
  </si>
  <si>
    <t>P2P_CC2_SYS_P1</t>
  </si>
  <si>
    <t>P2P_SRC_CUR_P1</t>
  </si>
  <si>
    <t>P2P_SNK_CTL_P1</t>
  </si>
  <si>
    <t>P2P_SBU2_OUT_P1</t>
  </si>
  <si>
    <t>P2P_VBUS_OUT_SENS_P1</t>
  </si>
  <si>
    <t>P2P_VIN_3V3</t>
  </si>
  <si>
    <t>P2P_CESD</t>
  </si>
  <si>
    <t>P2P_INTB</t>
  </si>
  <si>
    <t>P2P_LDO3V3</t>
  </si>
  <si>
    <t>P2P_V5V</t>
  </si>
  <si>
    <t>P2P_RPD1_P0</t>
  </si>
  <si>
    <t>P2P_RPD2_P0</t>
  </si>
  <si>
    <t>P2P_RPD1_P1</t>
  </si>
  <si>
    <t>P2P_RPD2_P1</t>
  </si>
  <si>
    <t>AMR_PRE_VBUS_P0</t>
  </si>
  <si>
    <t>AMR_PRE_VBUS_P1</t>
  </si>
  <si>
    <t>AMR_PRE_SBU1_P0</t>
  </si>
  <si>
    <t>AMR_PRE_SBU1_P1</t>
  </si>
  <si>
    <t>AMR_PRE_SBU2_P0</t>
  </si>
  <si>
    <t>AMR_PRE_SBU2_P1</t>
  </si>
  <si>
    <t>AMR_PRE_VBUS_OUT_SNS_P0</t>
  </si>
  <si>
    <t>AMR_PRE_VBUS_OUT_SNS_P1</t>
  </si>
  <si>
    <t>AMR_PRE_CC1_P0</t>
  </si>
  <si>
    <t>AMR_PRE_CC2_P0</t>
  </si>
  <si>
    <t>AMR_PRE_CC1_P1</t>
  </si>
  <si>
    <t>AMR_PRE_CC2_P1</t>
  </si>
  <si>
    <t>AMR_PRE_CESD</t>
  </si>
  <si>
    <t>AMR_PRE_RPD1_P0</t>
  </si>
  <si>
    <t>AMR_PRE_RPD2_P0</t>
  </si>
  <si>
    <t>AMR_PRE_RPD1_P1</t>
  </si>
  <si>
    <t>AMR_PRE_RPD2_P1</t>
  </si>
  <si>
    <t>AMR_VBUS_P0</t>
  </si>
  <si>
    <t>AMR_VBUS_P1</t>
  </si>
  <si>
    <t>AMR_SBU1_P0</t>
  </si>
  <si>
    <t>AMR_SBU1_P1</t>
  </si>
  <si>
    <t>AMR_SBU2_P0</t>
  </si>
  <si>
    <t>AMR_SBU2_P1</t>
  </si>
  <si>
    <t>AMR_VBUS_OUT_SNS_P0</t>
  </si>
  <si>
    <t>AMR_VBUS_OUT_SNS_P1</t>
  </si>
  <si>
    <t>AMR_CC1_P0</t>
  </si>
  <si>
    <t>AMR_CC2_P0</t>
  </si>
  <si>
    <t>AMR_CC1_P1</t>
  </si>
  <si>
    <t>AMR_CC2_P1</t>
  </si>
  <si>
    <t>AMR_CESD</t>
  </si>
  <si>
    <t>AMR_RPD1_P0</t>
  </si>
  <si>
    <t>AMR_RPD2_P0</t>
  </si>
  <si>
    <t>AMR_RPD1_P1</t>
  </si>
  <si>
    <t>AMR_RPD2_P1</t>
  </si>
  <si>
    <t>AMR_PST_VBUS_P0</t>
  </si>
  <si>
    <t>AMR_PST_VBUS_P1</t>
  </si>
  <si>
    <t>AMR_PST_SBU1_P0</t>
  </si>
  <si>
    <t>AMR_PST_SBU1_P1</t>
  </si>
  <si>
    <t>AMR_PST_SBU2_P0</t>
  </si>
  <si>
    <t>AMR_PST_SBU2_P1</t>
  </si>
  <si>
    <t>AMR_PST_VBUS_OUT_SNS_P0</t>
  </si>
  <si>
    <t>AMR_PST_VBUS_OUT_SNS_P1</t>
  </si>
  <si>
    <t>AMR_PST_CC1_P0</t>
  </si>
  <si>
    <t>AMR_PST_CC2_P0</t>
  </si>
  <si>
    <t>AMR_PST_CC1_P1</t>
  </si>
  <si>
    <t>AMR_PST_CC2_P1</t>
  </si>
  <si>
    <t>AMR_PST_CESD</t>
  </si>
  <si>
    <t>AMR_PST_RPD1_P0</t>
  </si>
  <si>
    <t>AMR_PST_RPD2_P0</t>
  </si>
  <si>
    <t>AMR_PST_RPD1_P1</t>
  </si>
  <si>
    <t>AMR_PST_RPD2_P1</t>
  </si>
  <si>
    <t>AMR_DELTA_VBUS_P0</t>
  </si>
  <si>
    <t>AMR_DELTA_VBUS_P1</t>
  </si>
  <si>
    <t>AMR_DELTA_SBU1_P0</t>
  </si>
  <si>
    <t>AMR_DELTA_SBU1_P1</t>
  </si>
  <si>
    <t>AMR_DELTA_SBU2_P0</t>
  </si>
  <si>
    <t>AMR_DELTA_SBU2_P1</t>
  </si>
  <si>
    <t>AMR_DELTA_VBUS_OUT_SNS_P0</t>
  </si>
  <si>
    <t>AMR_DELTA_VBUS_OUT_SNS_P1</t>
  </si>
  <si>
    <t>AMR_DELTA_CC1_P0</t>
  </si>
  <si>
    <t>AMR_DELTA_CC2_P0</t>
  </si>
  <si>
    <t>AMR_DELTA_CC1_P1</t>
  </si>
  <si>
    <t>AMR_DELTA_CC2_P1</t>
  </si>
  <si>
    <t>AMR_DELTA_CESD</t>
  </si>
  <si>
    <t>AMR_DELTA_RPD1_P0</t>
  </si>
  <si>
    <t>AMR_DELTA_RPD2_P0</t>
  </si>
  <si>
    <t>AMR_DELTA_RPD1_P1</t>
  </si>
  <si>
    <t>AMR_DELTA_RPD2_P1</t>
  </si>
  <si>
    <t>AMR_PRE_CC1_SYS_P0</t>
  </si>
  <si>
    <t>AMR_PRE_CC2_SYS_P0</t>
  </si>
  <si>
    <t>AMR_PRE_CC1_SYS_P1</t>
  </si>
  <si>
    <t>AMR_PRE_CC2_SYS_P1</t>
  </si>
  <si>
    <t>AMR_PRE_SBU1_OUT_P0</t>
  </si>
  <si>
    <t>AMR_PRE_SBU2_OUT_P0</t>
  </si>
  <si>
    <t>AMR_PRE_SBU1_OUT_P1</t>
  </si>
  <si>
    <t>AMR_PRE_SBU2_OUT_P1</t>
  </si>
  <si>
    <t>AMR_PRE_V5V</t>
  </si>
  <si>
    <t>AMR_PRE_SCL_SDA</t>
  </si>
  <si>
    <t>AMR_PRE_FRS_EN_P0</t>
  </si>
  <si>
    <t>AMR_PRE_FRS_EN_P1</t>
  </si>
  <si>
    <t>AMR_PRE_INTB</t>
  </si>
  <si>
    <t>AMR_PRE_LDO3V3</t>
  </si>
  <si>
    <t>AMR_PRE_VIN_3V3</t>
  </si>
  <si>
    <t>AMR_PRE_PA_20V5A_OFF</t>
  </si>
  <si>
    <t>AMR_PRE_PB_20V5A_OFF</t>
  </si>
  <si>
    <t>AMR_PRE_VBUS_DIV_P0</t>
  </si>
  <si>
    <t>AMR_PRE_VBUS_DIV_P1</t>
  </si>
  <si>
    <t>AMR_PRE_SRC_CUR_P0</t>
  </si>
  <si>
    <t>AMR_PRE_SRC_CUR_P1</t>
  </si>
  <si>
    <t>AMR_PRE_SBU_OVP_P0</t>
  </si>
  <si>
    <t>AMR_PRE_SBU_OVP_P1</t>
  </si>
  <si>
    <t>AMR_PRE_V5V_DIV</t>
  </si>
  <si>
    <t>AMR_CC1_SYS_P0</t>
  </si>
  <si>
    <t>AMR_CC2_SYS_P0</t>
  </si>
  <si>
    <t>AMR_CC1_SYS_P1</t>
  </si>
  <si>
    <t>AMR_CC2_SYS_P1</t>
  </si>
  <si>
    <t>AMR_SBU1_OUT_P0</t>
  </si>
  <si>
    <t>AMR_SBU2_OUT_P0</t>
  </si>
  <si>
    <t>AMR_SBU1_OUT_P1</t>
  </si>
  <si>
    <t>AMR_SBU2_OUT_P1</t>
  </si>
  <si>
    <t>AMR_V5V</t>
  </si>
  <si>
    <t>AMR_SCL_SDA</t>
  </si>
  <si>
    <t>AMR_FRS_EN_P0</t>
  </si>
  <si>
    <t>AMR_FRS_EN_P1</t>
  </si>
  <si>
    <t>AMR_INTB</t>
  </si>
  <si>
    <t>AMR_LDO3V3</t>
  </si>
  <si>
    <t>AMR_VIN_3V3</t>
  </si>
  <si>
    <t>AMR_PA_20V5A_OFF</t>
  </si>
  <si>
    <t>AMR_PB_20V5A_OFF</t>
  </si>
  <si>
    <t>AMR_VBUS_DIV_P0</t>
  </si>
  <si>
    <t>AMR_VBUS_DIV_P1</t>
  </si>
  <si>
    <t>AMR_SRC_CUR_P0</t>
  </si>
  <si>
    <t>AMR_SRC_CUR_P1</t>
  </si>
  <si>
    <t>AMR_SBU_OVP_P1</t>
  </si>
  <si>
    <t>AMR_SBU_OVP_P0</t>
  </si>
  <si>
    <t>AMR_V5V_DIV</t>
  </si>
  <si>
    <t>AMR_PST_CC2_SYS_P1</t>
  </si>
  <si>
    <t>AMR_PST_CC1_SYS_P0</t>
  </si>
  <si>
    <t>AMR_PST_CC2_SYS_P0</t>
  </si>
  <si>
    <t>AMR_PST_CC1_SYS_P1</t>
  </si>
  <si>
    <t>AMR_PST_SBU1_OUT_P0</t>
  </si>
  <si>
    <t>AMR_PST_SBU1_OUT_P1</t>
  </si>
  <si>
    <t>AMR_PST_SBU2_OUT_P0</t>
  </si>
  <si>
    <t>AMR_PST_SBU2_OUT_P1</t>
  </si>
  <si>
    <t>AMR_PST_V5V</t>
  </si>
  <si>
    <t>AMR_PST_SCL_SDA</t>
  </si>
  <si>
    <t>AMR_PST_FRS_EN_P0</t>
  </si>
  <si>
    <t>AMR_PST_FRS_EN_P1</t>
  </si>
  <si>
    <t>AMR_PST_INTB</t>
  </si>
  <si>
    <t>AMR_PST_LDO3V3</t>
  </si>
  <si>
    <t>AMR_PST_VIN_3V3</t>
  </si>
  <si>
    <t>AMR_PST_VDDIO</t>
  </si>
  <si>
    <t>AMR_PST_PA_20V5A_OFF</t>
  </si>
  <si>
    <t>AMR_PST_PB_20V5A_OFF</t>
  </si>
  <si>
    <t>AMR_PST_VBUS_DIV_P0</t>
  </si>
  <si>
    <t>AMR_PST_VBUS_DIV_P1</t>
  </si>
  <si>
    <t>AMR_PST_SRC_CUR_P0</t>
  </si>
  <si>
    <t>AMR_PST_SRC_CUR_P1</t>
  </si>
  <si>
    <t>AMR_PST_SBU_OVP_P1</t>
  </si>
  <si>
    <t>AMR_PST_SBU_OVP_P0</t>
  </si>
  <si>
    <t>AMR_PST_V5V_DIV</t>
  </si>
  <si>
    <t>AMR_DELTA_CC2_SYS_P1</t>
  </si>
  <si>
    <t>AMR_DELTA_CC1_SYS_P0</t>
  </si>
  <si>
    <t>AMR_DELTA_CC2_SYS_P0</t>
  </si>
  <si>
    <t>AMR_DELTA_CC1_SYS_P1</t>
  </si>
  <si>
    <t>AMR_DELTA_SBU1_OUT_P0</t>
  </si>
  <si>
    <t>AMR_DELTA_SBU1_OUT_P1</t>
  </si>
  <si>
    <t>AMR_DELTA_SBU2_OUT_P0</t>
  </si>
  <si>
    <t>AMR_DELTA_SBU2_OUT_P1</t>
  </si>
  <si>
    <t>AMR_DELTA_V5V</t>
  </si>
  <si>
    <t>AMR_DELTA_SCL</t>
  </si>
  <si>
    <t>AMR_DELTA_FRS_EN_P0</t>
  </si>
  <si>
    <t>AMR_DELTA_FRS_EN_P1</t>
  </si>
  <si>
    <t>AMR_DELTA_INTB</t>
  </si>
  <si>
    <t>AMR_DELTA_LDO3V3</t>
  </si>
  <si>
    <t>AMR_DELTA_VIN_3V3</t>
  </si>
  <si>
    <t>AMR_DELTA_VDDIO</t>
  </si>
  <si>
    <t>AMR_DELTA_PA_20V5A_OFF</t>
  </si>
  <si>
    <t>AMR_DELTA_PB_20V5A_OFF</t>
  </si>
  <si>
    <t>AMR_DELTA_VBUS_DIV_P0</t>
  </si>
  <si>
    <t>AMR_DELTA_VBUS_DIV_P1</t>
  </si>
  <si>
    <t>AMR_DELTA_SRC_CUR_P0</t>
  </si>
  <si>
    <t>AMR_DELTA_SRC_CUR_P1</t>
  </si>
  <si>
    <t>AMR_DELTA_SBU_OVP_P1</t>
  </si>
  <si>
    <t>AMR_DELTA_SBU_OVP_P0</t>
  </si>
  <si>
    <t>AMR_DELTA_V5V_DIV</t>
  </si>
  <si>
    <t>AMR_PRE_SNK_CTL_P0</t>
  </si>
  <si>
    <t>AMR_PRE_SNK_CTL_P1</t>
  </si>
  <si>
    <t>AMR_SNK_CTL_P0</t>
  </si>
  <si>
    <t>AMR_SNK_CTL_P1</t>
  </si>
  <si>
    <t>AMR_PST_SNK_CTL_P0</t>
  </si>
  <si>
    <t>AMR_PST_SNK_CTL_P1</t>
  </si>
  <si>
    <t>AMR_DELTA_SNK_CTL_P0</t>
  </si>
  <si>
    <t>AMR_DELTA_SNK_CTL_P1</t>
  </si>
  <si>
    <t>OTP_BURNED_FLAG</t>
  </si>
  <si>
    <t>OTP_40</t>
  </si>
  <si>
    <t>OTP_41</t>
  </si>
  <si>
    <t>OTP_42</t>
  </si>
  <si>
    <t>OTP_43</t>
  </si>
  <si>
    <t>OTP_44</t>
  </si>
  <si>
    <t>OTP_45</t>
  </si>
  <si>
    <t>OTP_46</t>
  </si>
  <si>
    <t>OTP_47</t>
  </si>
  <si>
    <t>OTP_48</t>
  </si>
  <si>
    <t>OTP_49</t>
  </si>
  <si>
    <t>OTP_4A</t>
  </si>
  <si>
    <t>OTP_4B</t>
  </si>
  <si>
    <t>REG_0XAA_01</t>
  </si>
  <si>
    <t>REG_0XAA_02</t>
  </si>
  <si>
    <t>REG_0XAA_03</t>
  </si>
  <si>
    <t>REG_0XAA_04</t>
  </si>
  <si>
    <t>REG_0XAA_05</t>
  </si>
  <si>
    <t>REG_0XAA_06</t>
  </si>
  <si>
    <t>REG_0XAA_07</t>
  </si>
  <si>
    <t>REG_0XAA_08</t>
  </si>
  <si>
    <t>REG_0XAA_09</t>
  </si>
  <si>
    <t>REG_0XAA_0A</t>
  </si>
  <si>
    <t>REG_0XAA_0B</t>
  </si>
  <si>
    <t>REG_0XAA_0C</t>
  </si>
  <si>
    <t>REG_0XAA_0D</t>
  </si>
  <si>
    <t>REG_0XAA_0E</t>
  </si>
  <si>
    <t>REG_0XAA_0F</t>
  </si>
  <si>
    <t>REG_0XAA_10</t>
  </si>
  <si>
    <t>REG_0XAA_11</t>
  </si>
  <si>
    <t>REG_0XAA_12</t>
  </si>
  <si>
    <t>REG_0XAA_13</t>
  </si>
  <si>
    <t>REG_0XAA_14</t>
  </si>
  <si>
    <t>REG_0XAA_15</t>
  </si>
  <si>
    <t>REG_0XAA_16</t>
  </si>
  <si>
    <t>REG_0XAA_17</t>
  </si>
  <si>
    <t>REG_0XAA_18</t>
  </si>
  <si>
    <t>REG_0XAA_19</t>
  </si>
  <si>
    <t>REG_0XAA_1A</t>
  </si>
  <si>
    <t>REG_0XAA_1B</t>
  </si>
  <si>
    <t>REG_0XAA_1C</t>
  </si>
  <si>
    <t>REG_0XAA_1D</t>
  </si>
  <si>
    <t>REG_0X55_01</t>
  </si>
  <si>
    <t>REG_0X55_02</t>
  </si>
  <si>
    <t>REG_0X55_03</t>
  </si>
  <si>
    <t>REG_0X55_04</t>
  </si>
  <si>
    <t>REG_0X55_05</t>
  </si>
  <si>
    <t>REG_0X55_06</t>
  </si>
  <si>
    <t>REG_0X55_07</t>
  </si>
  <si>
    <t>REG_0X55_08</t>
  </si>
  <si>
    <t>REG_0X55_09</t>
  </si>
  <si>
    <t>REG_0X55_0A</t>
  </si>
  <si>
    <t>REG_0X55_0B</t>
  </si>
  <si>
    <t>REG_0X55_0C</t>
  </si>
  <si>
    <t>REG_0X55_0D</t>
  </si>
  <si>
    <t>REG_0X55_0E</t>
  </si>
  <si>
    <t>REG_0X55_0F</t>
  </si>
  <si>
    <t>REG_0X55_10</t>
  </si>
  <si>
    <t>REG_0X55_11</t>
  </si>
  <si>
    <t>REG_0X55_12</t>
  </si>
  <si>
    <t>REG_0X55_13</t>
  </si>
  <si>
    <t>REG_0X55_14</t>
  </si>
  <si>
    <t>REG_0X55_15</t>
  </si>
  <si>
    <t>REG_0X55_16</t>
  </si>
  <si>
    <t>REG_0X55_17</t>
  </si>
  <si>
    <t>REG_0X55_18</t>
  </si>
  <si>
    <t>REG_0X55_19</t>
  </si>
  <si>
    <t>REG_0X55_1A</t>
  </si>
  <si>
    <t>REG_0X55_1B</t>
  </si>
  <si>
    <t>REG_0X55_1C</t>
  </si>
  <si>
    <t>REG_0X55_1D</t>
  </si>
  <si>
    <t>TRIM_VREF_PRE</t>
  </si>
  <si>
    <t>TRIM_VREF_PRE_BIT</t>
  </si>
  <si>
    <t>TRIM_VREF_POST</t>
  </si>
  <si>
    <t>TRIM_VREF_POST_BIT</t>
  </si>
  <si>
    <t>TRIM_VREF_TARGET</t>
  </si>
  <si>
    <t>TRIM_OSC_PRE</t>
  </si>
  <si>
    <t>KHZ</t>
  </si>
  <si>
    <t>TRIM_OSC_PRE_BIT</t>
  </si>
  <si>
    <t>TRIM_OSC_POST</t>
  </si>
  <si>
    <t>TRIM_OSC_POST_BIT</t>
  </si>
  <si>
    <t>TRIM_OSC_TARGET</t>
  </si>
  <si>
    <t>TRIM_LDO_PRE1</t>
  </si>
  <si>
    <t>TRIM_LDO_PRE_BIT1</t>
  </si>
  <si>
    <t>TRIM_LDO_POST1</t>
  </si>
  <si>
    <t>TRIM_LDO_POST_BIT1</t>
  </si>
  <si>
    <t>TRIM_LDO_TARGET1</t>
  </si>
  <si>
    <t>TRIM_SRC_LIN_P0_PRE</t>
  </si>
  <si>
    <t>TRIM_SRC_LIN_P0_PRE_BIT</t>
  </si>
  <si>
    <t>TRIM_SRC_LIN_P0_POST</t>
  </si>
  <si>
    <t>TRIM_SRC_LIN_P0_POST_BIT</t>
  </si>
  <si>
    <t>TRIM_SRC_LIN_P0_TARGET</t>
  </si>
  <si>
    <t>TRIM_SRC_SAT_P0_PRE</t>
  </si>
  <si>
    <t>TRIM_SRC_SAT_P0_PRE_BIT</t>
  </si>
  <si>
    <t>TRIM_SRC_SAT_P0_POST</t>
  </si>
  <si>
    <t>TRIM_SRC_SAT_P0_POST_BIT</t>
  </si>
  <si>
    <t>TRIM_SRC_SAT_P0_TARGET</t>
  </si>
  <si>
    <t>TRIM_SRC_LIN_P1_PRE</t>
  </si>
  <si>
    <t>TRIM_SRC_LIN_P1_PRE_BIT</t>
  </si>
  <si>
    <t>TRIM_SRC_LIN_P1_POST</t>
  </si>
  <si>
    <t>TRIM_SRC_LIN_P1_POST_BIT</t>
  </si>
  <si>
    <t>TRIM_SRC_LIN_P1_TARGET</t>
  </si>
  <si>
    <t>TRIM_SRC_SAT_P1_PRE</t>
  </si>
  <si>
    <t>TRIM_SRC_SAT_P1_PRE_BIT</t>
  </si>
  <si>
    <t>TRIM_SRC_SAT_P1_POST</t>
  </si>
  <si>
    <t>TRIM_SRC_SAT_P1_POST_BIT</t>
  </si>
  <si>
    <t>TRIM_SRC_SAT_P1_TARGET</t>
  </si>
  <si>
    <t>TRIM_SRC_CUR_P0_PRE</t>
  </si>
  <si>
    <t>TRIM_SRC_CUR_P0_PRE_BIT</t>
  </si>
  <si>
    <t>TRIM_SRC_CUR_P0_POST</t>
  </si>
  <si>
    <t>TRIM_SRC_CUR_P0_POST_BIT</t>
  </si>
  <si>
    <t>TRIM_SRC_CUR_P0_TARGET</t>
  </si>
  <si>
    <t>TRIM_SRC_CUR_P1_PRE</t>
  </si>
  <si>
    <t>TRIM_SRC_CUR_P1_PRE_BIT</t>
  </si>
  <si>
    <t>TRIM_SRC_CUR_P1_POST</t>
  </si>
  <si>
    <t>TRIM_SRC_CUR_P1_POST_BIT</t>
  </si>
  <si>
    <t>TRIM_SRC_CUR_P1_TARGET</t>
  </si>
  <si>
    <t>TRIM_VCN1_LIN_P0_PRE</t>
  </si>
  <si>
    <t>TRIM_VCN1_LIN_P0_PRE_BIT</t>
  </si>
  <si>
    <t>TRIM_VCN1_LIN_P0_POST</t>
  </si>
  <si>
    <t>TRIM_VCN1_LIN_P0_POST_BIT</t>
  </si>
  <si>
    <t>TRIM_VCN1_LIN_P0_TARGET</t>
  </si>
  <si>
    <t>TRIM_VCN1_LIN_P1_PRE</t>
  </si>
  <si>
    <t>TRIM_VCN1_LIN_P1_PRE_BIT</t>
  </si>
  <si>
    <t>TRIM_VCN1_LIN_P1_POST</t>
  </si>
  <si>
    <t>TRIM_VCN1_LIN_P1_POST_BIT</t>
  </si>
  <si>
    <t>TRIM_VCN1_LIN_P1_TARGET</t>
  </si>
  <si>
    <t>TRIM_VCN2_LIN_P0_PRE</t>
  </si>
  <si>
    <t>TRIM_VCN2_LIN_P0_PRE_BIT</t>
  </si>
  <si>
    <t>TRIM_VCN2_LIN_P0_POST</t>
  </si>
  <si>
    <t>TRIM_VCN2_LIN_P0_POST_BIT</t>
  </si>
  <si>
    <t>TRIM_VCN2_LIN_P0_TARGET</t>
  </si>
  <si>
    <t>TRIM_VCN2_LIN_P1_PRE</t>
  </si>
  <si>
    <t>TRIM_VCN2_LIN_P1_PRE_BIT</t>
  </si>
  <si>
    <t>TRIM_VCN2_LIN_P1_POST</t>
  </si>
  <si>
    <t>TRIM_VCN2_LIN_P1_POST_BIT</t>
  </si>
  <si>
    <t>TRIM_VCN2_LIN_P1_TARGET</t>
  </si>
  <si>
    <t>RCP_SNK_VBUS_BIT</t>
  </si>
  <si>
    <t>RCP_SNK_VBUS_P0_31V_PRE</t>
  </si>
  <si>
    <t>RCP_SNK_VBUS_BIT_POST</t>
  </si>
  <si>
    <t>RCP_SNK_VBUS_P1_31V_POST</t>
  </si>
  <si>
    <t>RCPS_SNK_VBUS_P0_31V_POST</t>
  </si>
  <si>
    <t>RCPS_SNK_VBUS_P1_31V_POST</t>
  </si>
  <si>
    <t>OTP_BURN_FLAG</t>
  </si>
  <si>
    <t>OTP_READ_40</t>
  </si>
  <si>
    <t>OTP_READ_41</t>
  </si>
  <si>
    <t>OTP_READ_42</t>
  </si>
  <si>
    <t>OTP_READ_43</t>
  </si>
  <si>
    <t>OTP_READ_44</t>
  </si>
  <si>
    <t>OTP_READ_45</t>
  </si>
  <si>
    <t>OTP_READ_46</t>
  </si>
  <si>
    <t>OTP_READ_47</t>
  </si>
  <si>
    <t>OTP_READ_48</t>
  </si>
  <si>
    <t>OTP_READ_49</t>
  </si>
  <si>
    <t>OTP_READ_4A</t>
  </si>
  <si>
    <t>OTP_READ_4B</t>
  </si>
  <si>
    <t>OTP_COMPARE</t>
  </si>
  <si>
    <t>LDO_POST</t>
  </si>
  <si>
    <t>VBG_POST</t>
  </si>
  <si>
    <t>VREF_POST</t>
  </si>
  <si>
    <t>IREF_POST</t>
  </si>
  <si>
    <t>OSC_POST</t>
  </si>
  <si>
    <t>SRC_LIN_P1_POST</t>
  </si>
  <si>
    <t>SRC_SAT_P1_POST1</t>
  </si>
  <si>
    <t>SRC_CUR_P0_POST</t>
  </si>
  <si>
    <t>SRC_CUR_P1_POST</t>
  </si>
  <si>
    <t>VCN1_LIN_P1_POST</t>
  </si>
  <si>
    <t>VCN2_LIN_P0_POST</t>
  </si>
  <si>
    <t>VCN2_LIN_P1_POST</t>
  </si>
  <si>
    <t>ILK_V5V_OFF_PRE1</t>
  </si>
  <si>
    <t>ILK_FRS_EN_P1</t>
  </si>
  <si>
    <t>M</t>
  </si>
  <si>
    <t>RPD_FRS_EN_P1</t>
  </si>
  <si>
    <t>IQ_SNK_LDO3V3</t>
  </si>
  <si>
    <t>IQ_SNK_VBUS_P1</t>
  </si>
  <si>
    <t>IQ_SRC_VIN3V3_VBUS_P1</t>
  </si>
  <si>
    <t>IQ_SRC_VBUS_P0_V</t>
  </si>
  <si>
    <t>IQ_SRC_VBUS_P1_V</t>
  </si>
  <si>
    <t>IQ_SRC_V5V_VBUS_P1</t>
  </si>
  <si>
    <t>IQ_VCONN_V5V_CC2_P0</t>
  </si>
  <si>
    <t>IQ_VCONN_V5V_CC1_P1</t>
  </si>
  <si>
    <t>IQ_VCONN_V5V_CC2_P1</t>
  </si>
  <si>
    <t>V5V_UVLO_FALL</t>
  </si>
  <si>
    <t>V5V_REG_VBUS_P1</t>
  </si>
  <si>
    <t>VIN3V3_UVLO_FALL</t>
  </si>
  <si>
    <t>kOhm</t>
  </si>
  <si>
    <t>LDO_REG_5V_5MA</t>
  </si>
  <si>
    <t>LDO_REG_5V_30MA</t>
  </si>
  <si>
    <t>VIH_FRS_EN_P1</t>
  </si>
  <si>
    <t>VIL_FRS_EN_P1</t>
  </si>
  <si>
    <t>VIH_PA_20V5A_OFF</t>
  </si>
  <si>
    <t>VIL_PA_20V5A_OFF</t>
  </si>
  <si>
    <t>VIH_PB_20V5A_OFF</t>
  </si>
  <si>
    <t>VIL_PB_20V5A_OFF</t>
  </si>
  <si>
    <t>VIH_SCL</t>
  </si>
  <si>
    <t>VIL_SCL</t>
  </si>
  <si>
    <t>I_LKG_VBUS_P0_30V_OFF</t>
  </si>
  <si>
    <t>R_VBUS_P0_30V</t>
  </si>
  <si>
    <t>mOhm</t>
  </si>
  <si>
    <t>I_LKG_VBUS_P1_5V_OFF</t>
  </si>
  <si>
    <t>I_LKG_VBUS_P1_30V_OFF</t>
  </si>
  <si>
    <t>R_VBUS_P1_5V</t>
  </si>
  <si>
    <t>R_VBUS_P1_30V</t>
  </si>
  <si>
    <t>RDS_ON_SRC_VBUS_P1</t>
  </si>
  <si>
    <t>VBUS_P0_UVLO_FALL</t>
  </si>
  <si>
    <t>VBUS_P1_UVLO_RISE</t>
  </si>
  <si>
    <t>VBUS_P1_UVLO_FALL</t>
  </si>
  <si>
    <t>VBUS_P1_UVLO_HYS</t>
  </si>
  <si>
    <t>VBUS_P1_OV_23V</t>
  </si>
  <si>
    <t>VBUS_P1_OV_31P6V</t>
  </si>
  <si>
    <t>RCP_SNK_VBUS_P1_5V</t>
  </si>
  <si>
    <t>RCPS_SNK_VBUS_P1_5V</t>
  </si>
  <si>
    <t>RCP_SNK_VBUS_P0_17P5V</t>
  </si>
  <si>
    <t>RCPS_SNK_VBUS_P0_17P5V</t>
  </si>
  <si>
    <t>RCP_SNK_VBUS_P1_17P5V</t>
  </si>
  <si>
    <t>RCPS_SNK_VBUS_P1_17P5V</t>
  </si>
  <si>
    <t>RCPS_SNK_VBUS_P0_31V</t>
  </si>
  <si>
    <t>RCPS_SNK_VBUS_P1_31V</t>
  </si>
  <si>
    <t>RCP_SNK_VBUS_P0_31V</t>
  </si>
  <si>
    <t>RCP_SNK_VBUS_P1_31V</t>
  </si>
  <si>
    <t>RCPS_SRC_VBUS_P0_115mV</t>
  </si>
  <si>
    <t>RCPS_SRC_VBUS_P0_177mV</t>
  </si>
  <si>
    <t>RCPS_SRC_VBUS_P0_234mV</t>
  </si>
  <si>
    <t>RCP_SRC_VBUS_P1</t>
  </si>
  <si>
    <t>RCPS_SRC_VBUS_P1</t>
  </si>
  <si>
    <t>RCPS_SRC_VBUS_P1_115mV</t>
  </si>
  <si>
    <t>RCPS_SRC_VBUS_P1_177mV</t>
  </si>
  <si>
    <t>RCPS_SRC_VBUS_P1_234mV</t>
  </si>
  <si>
    <t>VOH_SNK_CTL_P0</t>
  </si>
  <si>
    <t>VOH_SNK_CTL_P0_80UA</t>
  </si>
  <si>
    <t>VOH_SNK_CTL_P0_100UA</t>
  </si>
  <si>
    <t>I_SNK_CTL_P0_L</t>
  </si>
  <si>
    <t>VOL_SNK_CTL_P0_100UA</t>
  </si>
  <si>
    <t>VOH_VBUS_OUT_SNS_P0_VDDIO</t>
  </si>
  <si>
    <t>V_SNK_CTL_P1</t>
  </si>
  <si>
    <t>I_SNK_CTL_P1_H</t>
  </si>
  <si>
    <t>VOH_SNK_CTL_P1</t>
  </si>
  <si>
    <t>VOH_SNK_CTL_P1_80UA</t>
  </si>
  <si>
    <t>VOH_SNK_CTL_P1_100UA</t>
  </si>
  <si>
    <t>I_SNK_CTL_P1_L</t>
  </si>
  <si>
    <t>VOH_VBUS_OUT_SNS_P1_LDO</t>
  </si>
  <si>
    <t>VOH_VBUS_OUT_SNS_P1_VDDIO</t>
  </si>
  <si>
    <t>IIH_VBUS_OUT_SNS_P1</t>
  </si>
  <si>
    <t>IIL_VBUS_OUT_SNS_P1</t>
  </si>
  <si>
    <t>CC1_P0_R_5P8V</t>
  </si>
  <si>
    <t>CC1_P0_F_5P8V</t>
  </si>
  <si>
    <t>CC1_P0_HYS_5P8V</t>
  </si>
  <si>
    <t>CC2_P0_R_5P8V</t>
  </si>
  <si>
    <t>CC2_P0_F_5P8V</t>
  </si>
  <si>
    <t>CC2_P0_HYS_5P8V</t>
  </si>
  <si>
    <t>CC1_P1_R_5P8V</t>
  </si>
  <si>
    <t>CC1_P1_F_5P8V</t>
  </si>
  <si>
    <t>CC1_P1_HYS_5P8V</t>
  </si>
  <si>
    <t>CC2_P1_R_5P8V</t>
  </si>
  <si>
    <t>CC2_P1_F_5P8V</t>
  </si>
  <si>
    <t>CC2_P1_HYS_5P8V</t>
  </si>
  <si>
    <t>CC1_P0_F_6V</t>
  </si>
  <si>
    <t>CC2_P0_R_6V</t>
  </si>
  <si>
    <t>CC2_P0_F_6V</t>
  </si>
  <si>
    <t>CC2_P0_HYS_6V</t>
  </si>
  <si>
    <t>CC1_P1_R_6V</t>
  </si>
  <si>
    <t>CC1_P1_F_6V</t>
  </si>
  <si>
    <t>CC1_P1_HYS_6V</t>
  </si>
  <si>
    <t>CC2_P1_R_6V</t>
  </si>
  <si>
    <t>CC2_P1_F_6V</t>
  </si>
  <si>
    <t>CC2_P1_HYS_6V</t>
  </si>
  <si>
    <t>LKG_CC2_P0</t>
  </si>
  <si>
    <t>LKG_CC1_P1</t>
  </si>
  <si>
    <t>LKG_CC2_P1</t>
  </si>
  <si>
    <t>R_DIS_CC2_SYS_P0</t>
  </si>
  <si>
    <t>R_DIS_CC1_SYS_P1</t>
  </si>
  <si>
    <t>R_DIS_CC2_SYS_P1</t>
  </si>
  <si>
    <t>RDS_ON_CC2_P0</t>
  </si>
  <si>
    <t>RDS_ON_CC1_P1</t>
  </si>
  <si>
    <t>RDS_ON_CC2_P1</t>
  </si>
  <si>
    <t>RDS_ON_VCONN1_P0</t>
  </si>
  <si>
    <t>RDS_ON_VCONN2_P0</t>
  </si>
  <si>
    <t>RDS_ON_VCONN1_P1</t>
  </si>
  <si>
    <t>RDS_ON_VCONN2_P1</t>
  </si>
  <si>
    <t>R_DIS_SBU2_P0</t>
  </si>
  <si>
    <t>R_DIS_SBU1_P1</t>
  </si>
  <si>
    <t>R_DIS_SBU2_P1</t>
  </si>
  <si>
    <t>RDS_ON_SBU2_P0</t>
  </si>
  <si>
    <t>RDS_ON_SBU1_P1</t>
  </si>
  <si>
    <t>RDS_ON_SBU2_P1</t>
  </si>
  <si>
    <t>RDS_ON2_SBU1_P0</t>
  </si>
  <si>
    <t>RDS_ON2_SBU2_P0</t>
  </si>
  <si>
    <t>RDS_ON2_SBU1_P1</t>
  </si>
  <si>
    <t>RDS_ON2_SBU2_P1</t>
  </si>
  <si>
    <t>RDS_2P0V_SBU1_OUT_P0</t>
  </si>
  <si>
    <t>Mohm</t>
  </si>
  <si>
    <t>RDS_3P3V_SBU1_OUT_P0</t>
  </si>
  <si>
    <t>RDS_2P0V_SBU2_OUT_P0</t>
  </si>
  <si>
    <t>RDS_3P3V_SBU2_OUT_P0</t>
  </si>
  <si>
    <t>RDS_2P0V_SBU1_OUT_P1</t>
  </si>
  <si>
    <t>RDS_3P3V_SBU1_OUT_P1</t>
  </si>
  <si>
    <t>RDS_2P0V_SBU2_OUT_P1</t>
  </si>
  <si>
    <t>RDS_3P3V_SBU2_OUT_P1</t>
  </si>
  <si>
    <t>SBU1_F_P0</t>
  </si>
  <si>
    <t>SBU2_R_P0</t>
  </si>
  <si>
    <t>SBU2_F_P0</t>
  </si>
  <si>
    <t>SBU2_HYS_P0</t>
  </si>
  <si>
    <t>SBU1_R_P1</t>
  </si>
  <si>
    <t>SBU1_F_P1</t>
  </si>
  <si>
    <t>SBU1_HYS_P1</t>
  </si>
  <si>
    <t>SBU2_R_P1</t>
  </si>
  <si>
    <t>SBU2_F_P1</t>
  </si>
  <si>
    <t>SBU2_HYS_P1</t>
  </si>
  <si>
    <t>THSD0_FALL</t>
  </si>
  <si>
    <t>THSD1_FALL</t>
  </si>
  <si>
    <t>THSD1_RISE</t>
  </si>
  <si>
    <t>THSD0_ot_vptat</t>
  </si>
  <si>
    <t>THSD1_ot_vptat</t>
  </si>
  <si>
    <t>RPD1_P1_RD_ON</t>
  </si>
  <si>
    <t>RPD2_P0_RD_ON</t>
  </si>
  <si>
    <t>RPD2_P1_RD_ON</t>
  </si>
  <si>
    <t>RPD1_P0_RD_OFF_LEAK</t>
  </si>
  <si>
    <t>RPD1_P1_RD_OFF_LEAK</t>
  </si>
  <si>
    <t>RPD2_P0_RD_OFF_LEAK</t>
  </si>
  <si>
    <t>RPD2_P1_RD_OFF_LEAK</t>
  </si>
  <si>
    <t>mS</t>
  </si>
  <si>
    <t>TR_SS_SRC_P1</t>
  </si>
  <si>
    <t>TR_VCONN2_P0</t>
  </si>
  <si>
    <t>TR_VCONN1_P1</t>
  </si>
  <si>
    <t>TR_VCONN2_P1</t>
  </si>
  <si>
    <t>VBUS_P0</t>
  </si>
  <si>
    <t>VBUS_P1</t>
  </si>
  <si>
    <t>CC_P0</t>
  </si>
  <si>
    <t>CC_P1</t>
  </si>
  <si>
    <t>SBU_P0</t>
  </si>
  <si>
    <t>SBU_P1</t>
  </si>
  <si>
    <t>pct</t>
  </si>
  <si>
    <t>VBUS_P1_RATIO</t>
  </si>
  <si>
    <t>SRC_P1_1P4_RATIO</t>
  </si>
  <si>
    <t>AMR_PST2_VBUS_P0</t>
  </si>
  <si>
    <t>AMR_PST2_VBUS_P1</t>
  </si>
  <si>
    <t>AMR_PST2_SBU1_P0</t>
  </si>
  <si>
    <t>AMR_PST2_SBU1_P1</t>
  </si>
  <si>
    <t>AMR_PST2_SBU2_P0</t>
  </si>
  <si>
    <t>AMR_PST2_SBU2_P1</t>
  </si>
  <si>
    <t>AMR_PST2_VBUS_OUT_SNS_P0</t>
  </si>
  <si>
    <t>AMR_PST2_VBUS_OUT_SNS_P1</t>
  </si>
  <si>
    <t>AMR_PST2_CC1_P0</t>
  </si>
  <si>
    <t>AMR_PST2_CC2_P0</t>
  </si>
  <si>
    <t>AMR_PST2_CC1_P1</t>
  </si>
  <si>
    <t>AMR_PST2_CC2_P1</t>
  </si>
  <si>
    <t>AMR_PST2_CESD</t>
  </si>
  <si>
    <t>AMR_PST2_RPD1_P0</t>
  </si>
  <si>
    <t>AMR_PST2_RPD2_P0</t>
  </si>
  <si>
    <t>AMR_PST2_RPD1_P1</t>
  </si>
  <si>
    <t>AMR_PST2_RPD2_P1</t>
  </si>
  <si>
    <t>AMR_DELTA2_VBUS_P0</t>
  </si>
  <si>
    <t>AMR_DELTA2_VBUS_P1</t>
  </si>
  <si>
    <t>AMR_DELTA2_SBU1_P0</t>
  </si>
  <si>
    <t>AMR_DELTA2_SBU1_P1</t>
  </si>
  <si>
    <t>AMR_DELTA2_SBU2_P0</t>
  </si>
  <si>
    <t>AMR_DELTA2_SBU2_P1</t>
  </si>
  <si>
    <t>AMR_DELTA2_VBUS_OUT_SNS_P0</t>
  </si>
  <si>
    <t>AMR_DELTA2_VBUS_OUT_SNS_P1</t>
  </si>
  <si>
    <t>AMR_DELTA2_CC1_P0</t>
  </si>
  <si>
    <t>AMR_DELTA2_CC2_P0</t>
  </si>
  <si>
    <t>AMR_DELTA2_CC1_P1</t>
  </si>
  <si>
    <t>AMR_DELTA2_CC2_P1</t>
  </si>
  <si>
    <t>AMR_DELTA2_CESD</t>
  </si>
  <si>
    <t>AMR_DELTA2_RPD1_P0</t>
  </si>
  <si>
    <t>AMR_DELTA2_RPD2_P0</t>
  </si>
  <si>
    <t>AMR_DELTA2_RPD1_P1</t>
  </si>
  <si>
    <t>AMR_DELTA2_RPD2_P1</t>
  </si>
  <si>
    <t>AMR_PST2_CC2_SYS_P1</t>
  </si>
  <si>
    <t>AMR_PST2_CC1_SYS_P0</t>
  </si>
  <si>
    <t>AMR_PST2_CC2_SYS_P0</t>
  </si>
  <si>
    <t>AMR_PST2_CC1_SYS_P1</t>
  </si>
  <si>
    <t>AMR_PST2_SBU1_OUT_P0</t>
  </si>
  <si>
    <t>AMR_PST2_SBU1_OUT_P1</t>
  </si>
  <si>
    <t>AMR_PST2_SBU2_OUT_P0</t>
  </si>
  <si>
    <t>AMR_PST2_SBU2_OUT_P1</t>
  </si>
  <si>
    <t>AMR_PST2_V5V</t>
  </si>
  <si>
    <t>AMR_PST2_SCL</t>
  </si>
  <si>
    <t>AMR_PST2_FRS_EN_P0</t>
  </si>
  <si>
    <t>AMR_PST2_FRS_EN_P1</t>
  </si>
  <si>
    <t>AMR_PST2_INTB</t>
  </si>
  <si>
    <t>AMR_PST2_LDO3V3</t>
  </si>
  <si>
    <t>AMR_PST2_VIN_3V3</t>
  </si>
  <si>
    <t>AMR_PST2_VDDIO</t>
  </si>
  <si>
    <t>AMR_PST2_PA_20V5A_OFF</t>
  </si>
  <si>
    <t>AMR_PST2_PB_20V5A_OFF</t>
  </si>
  <si>
    <t>AMR_PST2_VBUS_DIV_P0</t>
  </si>
  <si>
    <t>AMR_PST2_VBUS_DIV_P1</t>
  </si>
  <si>
    <t>AMR_PST2_SRC_CUR_P0</t>
  </si>
  <si>
    <t>AMR_PST2_SRC_CUR_P1</t>
  </si>
  <si>
    <t>AMR_PST2_SBU_OVP_P1</t>
  </si>
  <si>
    <t>AMR_PST2_SBU_OVP_P0</t>
  </si>
  <si>
    <t>AMR_PST2_V5V_DIV</t>
  </si>
  <si>
    <t>AMR_DELTA2_CC2_SYS_P1</t>
  </si>
  <si>
    <t>AMR_DELTA2_CC1_SYS_P0</t>
  </si>
  <si>
    <t>AMR_DELTA2_CC2_SYS_P0</t>
  </si>
  <si>
    <t>AMR_DELTA2_CC1_SYS_P1</t>
  </si>
  <si>
    <t>AMR_DELTA2_SBU1_OUT_P0</t>
  </si>
  <si>
    <t>AMR_DELTA2_SBU1_OUT_P1</t>
  </si>
  <si>
    <t>AMR_DELTA2_SBU2_OUT_P0</t>
  </si>
  <si>
    <t>AMR_DELTA2_SBU2_OUT_P1</t>
  </si>
  <si>
    <t>AMR_DELTA2_V5V</t>
  </si>
  <si>
    <t>AMR_DELTA2_SCL</t>
  </si>
  <si>
    <t>AMR_DELTA2_FRS_EN_P0</t>
  </si>
  <si>
    <t>AMR_DELTA2_FRS_EN_P1</t>
  </si>
  <si>
    <t>AMR_DELTA2_INTB</t>
  </si>
  <si>
    <t>AMR_DELTA2_LDO3V3</t>
  </si>
  <si>
    <t>AMR_DELTA2_VIN_3V3</t>
  </si>
  <si>
    <t>AMR_DELTA2_VDDIO</t>
  </si>
  <si>
    <t>AMR_DELTA2_PA_20V5A_OFF</t>
  </si>
  <si>
    <t>AMR_DELTA2_PB_20V5A_OFF</t>
  </si>
  <si>
    <t>AMR_DELTA2_VBUS_DIV_P0</t>
  </si>
  <si>
    <t>AMR_DELTA2_VBUS_DIV_P1</t>
  </si>
  <si>
    <t>AMR_DELTA2_SRC_CUR_P0</t>
  </si>
  <si>
    <t>AMR_DELTA2_SRC_CUR_P1</t>
  </si>
  <si>
    <t>AMR_DELTA2_SBU_OVP_P1</t>
  </si>
  <si>
    <t>AMR_DELTA2_SBU_OVP_P0</t>
  </si>
  <si>
    <t>AMR_DELTA2_V5V_DIV</t>
  </si>
  <si>
    <t>AMR_PST2_SNK_CTL_P0</t>
  </si>
  <si>
    <t>AMR_PST2_SNK_CTL_P1</t>
  </si>
  <si>
    <t>AMR_DELTA2_SNK_CTL_P0</t>
  </si>
  <si>
    <t>AMR_DELTA2_SNK_CTL_P1</t>
  </si>
  <si>
    <t>P2P_VBUS_P2</t>
  </si>
  <si>
    <t>P2P_CC1_P2</t>
  </si>
  <si>
    <t>P2P_CC2_P2</t>
  </si>
  <si>
    <t>P2P_SBU1_P2</t>
  </si>
  <si>
    <t>P2P_SBU2_P2</t>
  </si>
  <si>
    <t>P2P_SBU_OVP_P2</t>
  </si>
  <si>
    <t>P2P_FRS_EN_P2</t>
  </si>
  <si>
    <t>P2P_SBU1_OUT_P2</t>
  </si>
  <si>
    <t>P2P_PA_20V5A_OFF3</t>
  </si>
  <si>
    <t>P2P_VBUS_DIV_P2</t>
  </si>
  <si>
    <t>P2P_CC1_SYS_P2</t>
  </si>
  <si>
    <t>P2P_CC2_SYS_P2</t>
  </si>
  <si>
    <t>P2P_SRC_CUR_P2</t>
  </si>
  <si>
    <t>P2P_VDDIO3</t>
  </si>
  <si>
    <t>P2P_V5V_DIV4</t>
  </si>
  <si>
    <t>P2P_SNK_CTL_P2</t>
  </si>
  <si>
    <t>P2P_SBU2_OUT_P2</t>
  </si>
  <si>
    <t>P2P_VBUS_OUT_SENS_P2</t>
  </si>
  <si>
    <t>P2P_VBUS_P3</t>
  </si>
  <si>
    <t>P2P_CC1_P3</t>
  </si>
  <si>
    <t>P2P_CC2_P3</t>
  </si>
  <si>
    <t>P2P_SBU1_P3</t>
  </si>
  <si>
    <t>P2P_SBU2_P3</t>
  </si>
  <si>
    <t>P2P_SBU_OVP_P3</t>
  </si>
  <si>
    <t>P2P_FRS_EN_P3</t>
  </si>
  <si>
    <t>P2P_SBU1_OUT_P3</t>
  </si>
  <si>
    <t>P2P_PB_20V5A_OFF4</t>
  </si>
  <si>
    <t>P2P_VBUS_DIV_P3</t>
  </si>
  <si>
    <t>P2P_CC1_SYS_P3</t>
  </si>
  <si>
    <t>P2P_CC2_SYS_P3</t>
  </si>
  <si>
    <t>P2P_SRC_CUR_P3</t>
  </si>
  <si>
    <t>P2P_SNK_CTL_P3</t>
  </si>
  <si>
    <t>P2P_SBU2_OUT_P3</t>
  </si>
  <si>
    <t>P2P_VBUS_OUT_SENS_P3</t>
  </si>
  <si>
    <t>P2P_VIN_3V4</t>
  </si>
  <si>
    <t>P2P_CESD5</t>
  </si>
  <si>
    <t>P2P_SDA6</t>
  </si>
  <si>
    <t>P2P_SCL7</t>
  </si>
  <si>
    <t>P2P_INTB8</t>
  </si>
  <si>
    <t>P2P_LDO3V4</t>
  </si>
  <si>
    <t>P2P_V5V5</t>
  </si>
  <si>
    <t>P2P_RPD1_P2</t>
  </si>
  <si>
    <t>P2P_RPD2_P2</t>
  </si>
  <si>
    <t>P2P_RPD1_P3</t>
  </si>
  <si>
    <t>P2P_RPD2_P3</t>
  </si>
  <si>
    <t>OS_SHORT_PST</t>
  </si>
  <si>
    <t>OS_SOME_OPEN_PST</t>
  </si>
  <si>
    <t>OS_ALL_OPEN_PST</t>
  </si>
  <si>
    <t>OS_VBUS_P0_PST</t>
  </si>
  <si>
    <t>OS_CC1_P0_PST</t>
  </si>
  <si>
    <t>OS_CC2_P0_PST</t>
  </si>
  <si>
    <t>OS_SBU1_P0_PST</t>
  </si>
  <si>
    <t>OS_SBU2_P0_PST</t>
  </si>
  <si>
    <t>OS_SBU_OVP_P0_PST</t>
  </si>
  <si>
    <t>OS_FRS_EN_P0_PST</t>
  </si>
  <si>
    <t>OS_SBU1_OUT_P0_PST</t>
  </si>
  <si>
    <t>OS_PA_20V5A_OFF_PST</t>
  </si>
  <si>
    <t>OS_VBUS_DIV_P0_PST</t>
  </si>
  <si>
    <t>OS_CC1_SYS_P0_PST</t>
  </si>
  <si>
    <t>OS_CC2_SYS_P0_PST</t>
  </si>
  <si>
    <t>OS_SRC_CUR_P0_PST</t>
  </si>
  <si>
    <t>OS_VDDIO_PST</t>
  </si>
  <si>
    <t>OS_V5V_DIV_PST</t>
  </si>
  <si>
    <t>OS_SNK_CTL_P0_PST</t>
  </si>
  <si>
    <t>OS_SBU2_OUT_P0_PST</t>
  </si>
  <si>
    <t>OS_VBUS_OUT_SENS_P0_PST</t>
  </si>
  <si>
    <t>OS_VBUS_P1_PST</t>
  </si>
  <si>
    <t>OS_CC1_P1_PST</t>
  </si>
  <si>
    <t>OS_CC2_P1_PST</t>
  </si>
  <si>
    <t>OS_SBU1_P1_PST</t>
  </si>
  <si>
    <t>OS_SBU2_P1_PST</t>
  </si>
  <si>
    <t>OS_SBU_OVP_P1_PST</t>
  </si>
  <si>
    <t>OS_FRS_EN_P1_PST</t>
  </si>
  <si>
    <t>OS_SBU1_OUT_P1_PST</t>
  </si>
  <si>
    <t>OS_PB_20V5A_OFF_PST</t>
  </si>
  <si>
    <t>OS_VBUS_DIV_P1_PST</t>
  </si>
  <si>
    <t>OS_CC1_SYS_P1_PST</t>
  </si>
  <si>
    <t>OS_CC2_SYS_P1_PST</t>
  </si>
  <si>
    <t>OS_SRC_CUR_P1_PST</t>
  </si>
  <si>
    <t>OS_SNK_CTL_P1_PST</t>
  </si>
  <si>
    <t>OS_SBU2_OUT_P1_PST</t>
  </si>
  <si>
    <t>OS_VBUS_OUT_SENS_P1_PST</t>
  </si>
  <si>
    <t>OS_VIN_3V3_PST</t>
  </si>
  <si>
    <t>OS_CESD_PST</t>
  </si>
  <si>
    <t>OS_SDA_PST</t>
  </si>
  <si>
    <t>OS_SCL_PST</t>
  </si>
  <si>
    <t>OS_INTB_PST</t>
  </si>
  <si>
    <t>OS_LDO3V3_PST</t>
  </si>
  <si>
    <t>OS_V5V_PST</t>
  </si>
  <si>
    <t>OS_RPD1_P0_PST</t>
  </si>
  <si>
    <t>OS_RPD2_P0_PST</t>
  </si>
  <si>
    <t>OS_RPD1_P1_PST</t>
  </si>
  <si>
    <t>OS_RPD2_P1_PST</t>
  </si>
  <si>
    <t>ILK_V5V_OFF_PRE2</t>
  </si>
  <si>
    <t>ILK_FRS_EN_P2</t>
  </si>
  <si>
    <t>ILK_FRS_EN_P3</t>
  </si>
  <si>
    <t>RPD_FRS_EN_P2</t>
  </si>
  <si>
    <t>RPD_FRS_EN_P3</t>
  </si>
  <si>
    <t>IQ_STBY_VIN3V4</t>
  </si>
  <si>
    <t>IQ_SNK_LDO3V4</t>
  </si>
  <si>
    <t>IQ_SNK_VIN3V4</t>
  </si>
  <si>
    <t>IQ_SNK_VBUS_P2</t>
  </si>
  <si>
    <t>IQ_SNK_VBUS_P3</t>
  </si>
  <si>
    <t>IQ_SRC_VIN3V3_VBUS_P2</t>
  </si>
  <si>
    <t>IQ_SRC_VIN3V3_VBUS_P3</t>
  </si>
  <si>
    <t>IQ_SRC_VBUS_P0_V4</t>
  </si>
  <si>
    <t>IQ_SRC_VBUS_P1_V5</t>
  </si>
  <si>
    <t>IQ_SRC_V5V_VBUS_P2</t>
  </si>
  <si>
    <t>IQ_SRC_V5V_VBUS_P3</t>
  </si>
  <si>
    <t>IQ_VCONN_V5V_CC1_P2</t>
  </si>
  <si>
    <t>IQ_VCONN_V5V_CC2_P2</t>
  </si>
  <si>
    <t>IQ_VCONN_V5V_CC1_P3</t>
  </si>
  <si>
    <t>IQ_VCONN_V5V_CC2_P3</t>
  </si>
  <si>
    <t>V5V_UVLO_RISE1</t>
  </si>
  <si>
    <t>V5V_UVLO_FALL2</t>
  </si>
  <si>
    <t>V5V_UVLO_HYS3</t>
  </si>
  <si>
    <t>V5V_REG_VBUS_P2</t>
  </si>
  <si>
    <t>V5V_REG_VBUS_P3</t>
  </si>
  <si>
    <t>VIN3V3_UVLO_RISE4</t>
  </si>
  <si>
    <t>VIN3V3_UVLO_FALL5</t>
  </si>
  <si>
    <t>VIN3V3_UVLO_HYS6</t>
  </si>
  <si>
    <t>ILDO3V3_LIM7</t>
  </si>
  <si>
    <t>VIN3V3_REG8</t>
  </si>
  <si>
    <t>INTERNAL_SW_ON_RES9</t>
  </si>
  <si>
    <t>VOL_INTB_1MA10</t>
  </si>
  <si>
    <t>RPULLUP_INTB11</t>
  </si>
  <si>
    <t>LDO_REG_5V_5MA12</t>
  </si>
  <si>
    <t>LDO_REG_5V_30MA13</t>
  </si>
  <si>
    <t>LDO_REG_28V_5MA14</t>
  </si>
  <si>
    <t>LDO_REG_28V_30MA15</t>
  </si>
  <si>
    <t>VIH_FRS_EN_P2</t>
  </si>
  <si>
    <t>VIL_FRS_EN_P2</t>
  </si>
  <si>
    <t>VIH_FRS_EN_P3</t>
  </si>
  <si>
    <t>VIL_FRS_EN_P3</t>
  </si>
  <si>
    <t>VIH_PA_20V5A_OFF4</t>
  </si>
  <si>
    <t>VIL_PA_20V5A_OFF5</t>
  </si>
  <si>
    <t>VIH_PB_20V5A_OFF6</t>
  </si>
  <si>
    <t>VIL_PB_20V5A_OFF7</t>
  </si>
  <si>
    <t>VIH_SDA8</t>
  </si>
  <si>
    <t>VIL_SDA9</t>
  </si>
  <si>
    <t>VIH_SCL10</t>
  </si>
  <si>
    <t>VIL_SCL11</t>
  </si>
  <si>
    <t>I_LKG_VBUS_P0_5V_OFF1</t>
  </si>
  <si>
    <t>I_LKG_VBUS_P0_30V_OFF2</t>
  </si>
  <si>
    <t>R_VBUS_P0_5V3</t>
  </si>
  <si>
    <t>R_VBUS_P0_30V4</t>
  </si>
  <si>
    <t>RDS_ON_SRC_VBUS_P2</t>
  </si>
  <si>
    <t>I_LKG_VBUS_P1_5V_OFF3</t>
  </si>
  <si>
    <t>I_LKG_VBUS_P1_30V_OFF4</t>
  </si>
  <si>
    <t>R_VBUS_P1_5V5</t>
  </si>
  <si>
    <t>R_VBUS_P1_30V6</t>
  </si>
  <si>
    <t>RDS_ON_SRC_VBUS_P3</t>
  </si>
  <si>
    <t>VBUS_P0_UVLO_RISE1</t>
  </si>
  <si>
    <t>VBUS_P0_UVLO_FALL2</t>
  </si>
  <si>
    <t>VBUS_P0_UVLO_HYS3</t>
  </si>
  <si>
    <t>VBUS_P0_OV_23V4</t>
  </si>
  <si>
    <t>VBUS_P0_OV_31P6V5</t>
  </si>
  <si>
    <t>VBUS_P1_UVLO_RISE6</t>
  </si>
  <si>
    <t>VBUS_P1_UVLO_FALL7</t>
  </si>
  <si>
    <t>VBUS_P1_UVLO_HYS8</t>
  </si>
  <si>
    <t>VBUS_P1_OV_23V9</t>
  </si>
  <si>
    <t>VBUS_P1_OV_31P6V10</t>
  </si>
  <si>
    <t>V_SNK_CTL_P2</t>
  </si>
  <si>
    <t>I_SNK_CTL_P0_H3</t>
  </si>
  <si>
    <t>VOH_SNK_CTL_P2</t>
  </si>
  <si>
    <t>VOH_SNK_CTL_P0_80UA3</t>
  </si>
  <si>
    <t>VOH_SNK_CTL_P0_100UA4</t>
  </si>
  <si>
    <t>I_SNK_CTL_P0_L5</t>
  </si>
  <si>
    <t>VOL_SNK_CTL_P0_100UA6</t>
  </si>
  <si>
    <t>VOH_VBUS_OUT_SNS_P0_LDO7</t>
  </si>
  <si>
    <t>VOH_VBUS_OUT_SNS_P0_VDDIO8</t>
  </si>
  <si>
    <t>IIH_VBUS_OUT_SNS_P2</t>
  </si>
  <si>
    <t>IIL_VBUS_OUT_SNS_P2</t>
  </si>
  <si>
    <t>V_SNK_CTL_P3</t>
  </si>
  <si>
    <t>I_SNK_CTL_P1_H4</t>
  </si>
  <si>
    <t>VOH_SNK_CTL_P3</t>
  </si>
  <si>
    <t>VOH_SNK_CTL_P1_80UA4</t>
  </si>
  <si>
    <t>VOH_SNK_CTL_P1_100UA5</t>
  </si>
  <si>
    <t>I_SNK_CTL_P1_L6</t>
  </si>
  <si>
    <t>VOL_SNK_CTL_P1_100UA7</t>
  </si>
  <si>
    <t>VOH_VBUS_OUT_SNS_P1_LDO8</t>
  </si>
  <si>
    <t>VOH_VBUS_OUT_SNS_P1_VDDIO9</t>
  </si>
  <si>
    <t>IIH_VBUS_OUT_SNS_P3</t>
  </si>
  <si>
    <t>IIL_VBUS_OUT_SNS_P3</t>
  </si>
  <si>
    <t>CC1_P0_R_5P8V1</t>
  </si>
  <si>
    <t>CC1_P0_F_5P8V2</t>
  </si>
  <si>
    <t>CC1_P0_HYS_5P8V3</t>
  </si>
  <si>
    <t>CC2_P0_R_5P8V4</t>
  </si>
  <si>
    <t>CC2_P0_F_5P8V5</t>
  </si>
  <si>
    <t>CC2_P0_HYS_5P8V6</t>
  </si>
  <si>
    <t>CC1_P1_R_5P8V7</t>
  </si>
  <si>
    <t>CC1_P1_F_5P8V8</t>
  </si>
  <si>
    <t>CC1_P1_HYS_5P8V9</t>
  </si>
  <si>
    <t>CC2_P1_R_5P8V10</t>
  </si>
  <si>
    <t>CC2_P1_F_5P8V11</t>
  </si>
  <si>
    <t>CC2_P1_HYS_5P8V12</t>
  </si>
  <si>
    <t>CC1_P0_R_6V13</t>
  </si>
  <si>
    <t>CC1_P0_F_6V14</t>
  </si>
  <si>
    <t>CC1_P0_HYS_6V15</t>
  </si>
  <si>
    <t>CC2_P0_R_6V16</t>
  </si>
  <si>
    <t>CC2_P0_F_6V17</t>
  </si>
  <si>
    <t>CC2_P0_HYS_6V18</t>
  </si>
  <si>
    <t>CC1_P1_R_6V19</t>
  </si>
  <si>
    <t>CC1_P1_F_6V20</t>
  </si>
  <si>
    <t>CC1_P1_HYS_6V21</t>
  </si>
  <si>
    <t>CC2_P1_R_6V22</t>
  </si>
  <si>
    <t>CC2_P1_F_6V23</t>
  </si>
  <si>
    <t>CC2_P1_HYS_6V24</t>
  </si>
  <si>
    <t>LKG_CC1_P2</t>
  </si>
  <si>
    <t>LKG_CC2_P2</t>
  </si>
  <si>
    <t>LKG_CC1_P3</t>
  </si>
  <si>
    <t>LKG_CC2_P3</t>
  </si>
  <si>
    <t>R_DIS_CC1_SYS_P2</t>
  </si>
  <si>
    <t>R_DIS_CC2_SYS_P2</t>
  </si>
  <si>
    <t>R_DIS_CC1_SYS_P3</t>
  </si>
  <si>
    <t>R_DIS_CC2_SYS_P3</t>
  </si>
  <si>
    <t>RDS_ON_CC1_P2</t>
  </si>
  <si>
    <t>RDS_ON_CC2_P2</t>
  </si>
  <si>
    <t>RDS_ON_CC1_P3</t>
  </si>
  <si>
    <t>RDS_ON_CC2_P3</t>
  </si>
  <si>
    <t>RDS_ON_VCONN1_P2</t>
  </si>
  <si>
    <t>RDS_ON_VCONN2_P2</t>
  </si>
  <si>
    <t>RDS_ON_VCONN1_P3</t>
  </si>
  <si>
    <t>RDS_ON_VCONN2_P3</t>
  </si>
  <si>
    <t>R_DIS_SBU1_P2</t>
  </si>
  <si>
    <t>R_DIS_SBU2_P2</t>
  </si>
  <si>
    <t>R_DIS_SBU1_P3</t>
  </si>
  <si>
    <t>R_DIS_SBU2_P3</t>
  </si>
  <si>
    <t>RDS_ON_SBU1_P2</t>
  </si>
  <si>
    <t>RDS_ON_SBU2_P2</t>
  </si>
  <si>
    <t>RDS_ON_SBU1_P3</t>
  </si>
  <si>
    <t>RDS_ON_SBU2_P3</t>
  </si>
  <si>
    <t>SBU1_R_P2</t>
  </si>
  <si>
    <t>SBU1_F_P2</t>
  </si>
  <si>
    <t>SBU1_HYS_P2</t>
  </si>
  <si>
    <t>SBU2_R_P2</t>
  </si>
  <si>
    <t>SBU2_F_P2</t>
  </si>
  <si>
    <t>SBU2_HYS_P2</t>
  </si>
  <si>
    <t>SBU1_R_P3</t>
  </si>
  <si>
    <t>SBU1_F_P3</t>
  </si>
  <si>
    <t>SBU1_HYS_P3</t>
  </si>
  <si>
    <t>SBU2_R_P3</t>
  </si>
  <si>
    <t>SBU2_F_P3</t>
  </si>
  <si>
    <t>SBU2_HYS_P3</t>
  </si>
  <si>
    <t>THSD0_FALL1</t>
  </si>
  <si>
    <t>THSD0_RISE2</t>
  </si>
  <si>
    <t>THSD1_FALL3</t>
  </si>
  <si>
    <t>THSD1_RISE4</t>
  </si>
  <si>
    <t>THSD0_ot_vptat5</t>
  </si>
  <si>
    <t>THSD1_ot_vptat6</t>
  </si>
  <si>
    <t>RPD1_P0_RD_ON1</t>
  </si>
  <si>
    <t>RPD1_P1_RD_ON2</t>
  </si>
  <si>
    <t>RPD2_P0_RD_ON3</t>
  </si>
  <si>
    <t>RPD2_P1_RD_ON4</t>
  </si>
  <si>
    <t>RPD1_P0_RD_OFF_LEAK5</t>
  </si>
  <si>
    <t>RPD1_P1_RD_OFF_LEAK6</t>
  </si>
  <si>
    <t>RPD2_P0_RD_OFF_LEAK7</t>
  </si>
  <si>
    <t>RPD2_P1_RD_OFF_LEAK8</t>
  </si>
  <si>
    <t>VBUS_P0_RATIO1</t>
  </si>
  <si>
    <t>VBUS_P1_RATIO2</t>
  </si>
  <si>
    <t>V5V_DIV_5P5_RATIO3</t>
  </si>
  <si>
    <t>SRC_P0_1P4_RATIO4</t>
  </si>
  <si>
    <t>SRC_P1_1P4_RATIO5</t>
  </si>
  <si>
    <t>PULLUP_SCL_R6</t>
  </si>
  <si>
    <t>PULLUP_SDA_R7</t>
  </si>
  <si>
    <t>AMR_PST2_VBUS_P2</t>
  </si>
  <si>
    <t>AMR_PST2_VBUS_P3</t>
  </si>
  <si>
    <t>AMR_PST2_SBU1_P2</t>
  </si>
  <si>
    <t>AMR_PST2_SBU1_P3</t>
  </si>
  <si>
    <t>AMR_PST2_SBU2_P2</t>
  </si>
  <si>
    <t>AMR_PST2_SBU2_P3</t>
  </si>
  <si>
    <t>AMR_PST2_VBUS_OUT_SNS_P2</t>
  </si>
  <si>
    <t>AMR_PST2_VBUS_OUT_SNS_P3</t>
  </si>
  <si>
    <t>AMR_PST2_CC1_P2</t>
  </si>
  <si>
    <t>AMR_PST2_CC2_P2</t>
  </si>
  <si>
    <t>AMR_PST2_CC1_P3</t>
  </si>
  <si>
    <t>AMR_PST2_CC2_P3</t>
  </si>
  <si>
    <t>AMR_PST2_CESD4</t>
  </si>
  <si>
    <t>AMR_PST2_RPD1_P2</t>
  </si>
  <si>
    <t>AMR_PST2_RPD2_P2</t>
  </si>
  <si>
    <t>AMR_PST2_RPD1_P3</t>
  </si>
  <si>
    <t>AMR_PST2_RPD2_P3</t>
  </si>
  <si>
    <t>AMR_DELTA2_VBUS_P2</t>
  </si>
  <si>
    <t>AMR_DELTA2_VBUS_P3</t>
  </si>
  <si>
    <t>AMR_DELTA2_SBU1_P2</t>
  </si>
  <si>
    <t>AMR_DELTA2_SBU1_P3</t>
  </si>
  <si>
    <t>AMR_DELTA2_SBU2_P2</t>
  </si>
  <si>
    <t>AMR_DELTA2_SBU2_P3</t>
  </si>
  <si>
    <t>AMR_DELTA2_VBUS_OUT_SNS_P2</t>
  </si>
  <si>
    <t>AMR_DELTA2_VBUS_OUT_SNS_P3</t>
  </si>
  <si>
    <t>AMR_DELTA2_CC1_P2</t>
  </si>
  <si>
    <t>AMR_DELTA2_CC2_P2</t>
  </si>
  <si>
    <t>AMR_DELTA2_CC1_P3</t>
  </si>
  <si>
    <t>AMR_DELTA2_CC2_P3</t>
  </si>
  <si>
    <t>AMR_DELTA2_CESD4</t>
  </si>
  <si>
    <t>AMR_DELTA2_RPD1_P2</t>
  </si>
  <si>
    <t>AMR_DELTA2_RPD2_P2</t>
  </si>
  <si>
    <t>AMR_DELTA2_RPD1_P3</t>
  </si>
  <si>
    <t>AMR_DELTA2_RPD2_P3</t>
  </si>
  <si>
    <t>AMR_PST2_CC2_SYS_P2</t>
  </si>
  <si>
    <t>AMR_PST2_CC1_SYS_P2</t>
  </si>
  <si>
    <t>AMR_PST2_CC2_SYS_P3</t>
  </si>
  <si>
    <t>AMR_PST2_CC1_SYS_P3</t>
  </si>
  <si>
    <t>AMR_PST2_SBU1_OUT_P2</t>
  </si>
  <si>
    <t>AMR_PST2_SBU1_OUT_P3</t>
  </si>
  <si>
    <t>AMR_PST2_SBU2_OUT_P2</t>
  </si>
  <si>
    <t>AMR_PST2_SBU2_OUT_P3</t>
  </si>
  <si>
    <t>AMR_PST2_V5V4</t>
  </si>
  <si>
    <t>AMR_PST2_SCL5</t>
  </si>
  <si>
    <t>AMR_PST2_FRS_EN_P2</t>
  </si>
  <si>
    <t>AMR_PST2_FRS_EN_P3</t>
  </si>
  <si>
    <t>AMR_PST2_INTB4</t>
  </si>
  <si>
    <t>AMR_PST2_LDO3V4</t>
  </si>
  <si>
    <t>AMR_PST2_VIN_3V4</t>
  </si>
  <si>
    <t>AMR_PST2_VDDIO5</t>
  </si>
  <si>
    <t>AMR_PST2_PA_20V5A_OFF6</t>
  </si>
  <si>
    <t>AMR_PST2_PB_20V5A_OFF7</t>
  </si>
  <si>
    <t>AMR_PST2_VBUS_DIV_P2</t>
  </si>
  <si>
    <t>AMR_PST2_VBUS_DIV_P3</t>
  </si>
  <si>
    <t>AMR_PST2_SRC_CUR_P2</t>
  </si>
  <si>
    <t>AMR_PST2_SRC_CUR_P3</t>
  </si>
  <si>
    <t>AMR_PST2_SBU_OVP_P2</t>
  </si>
  <si>
    <t>AMR_PST2_SBU_OVP_P3</t>
  </si>
  <si>
    <t>AMR_PST2_V5V_DIV4</t>
  </si>
  <si>
    <t>AMR_DELTA2_CC2_SYS_P2</t>
  </si>
  <si>
    <t>AMR_DELTA2_CC1_SYS_P2</t>
  </si>
  <si>
    <t>AMR_DELTA2_CC2_SYS_P3</t>
  </si>
  <si>
    <t>AMR_DELTA2_CC1_SYS_P3</t>
  </si>
  <si>
    <t>AMR_DELTA2_SBU1_OUT_P2</t>
  </si>
  <si>
    <t>AMR_DELTA2_SBU1_OUT_P3</t>
  </si>
  <si>
    <t>AMR_DELTA2_SBU2_OUT_P2</t>
  </si>
  <si>
    <t>AMR_DELTA2_SBU2_OUT_P3</t>
  </si>
  <si>
    <t>AMR_DELTA2_V5V4</t>
  </si>
  <si>
    <t>AMR_DELTA2_SCL5</t>
  </si>
  <si>
    <t>AMR_DELTA2_FRS_EN_P2</t>
  </si>
  <si>
    <t>AMR_DELTA2_FRS_EN_P3</t>
  </si>
  <si>
    <t>AMR_DELTA2_INTB4</t>
  </si>
  <si>
    <t>AMR_DELTA2_LDO3V4</t>
  </si>
  <si>
    <t>AMR_DELTA2_VIN_3V4</t>
  </si>
  <si>
    <t>AMR_DELTA2_VDDIO5</t>
  </si>
  <si>
    <t>AMR_DELTA2_PA_20V5A_OFF6</t>
  </si>
  <si>
    <t>AMR_DELTA2_PB_20V5A_OFF7</t>
  </si>
  <si>
    <t>AMR_DELTA2_VBUS_DIV_P2</t>
  </si>
  <si>
    <t>AMR_DELTA2_VBUS_DIV_P3</t>
  </si>
  <si>
    <t>AMR_DELTA2_SRC_CUR_P2</t>
  </si>
  <si>
    <t>AMR_DELTA2_SRC_CUR_P3</t>
  </si>
  <si>
    <t>AMR_DELTA2_SBU_OVP_P2</t>
  </si>
  <si>
    <t>AMR_DELTA2_SBU_OVP_P3</t>
  </si>
  <si>
    <t>AMR_DELTA2_V5V_DIV4</t>
  </si>
  <si>
    <t>AMR_PST2_SNK_CTL_P2</t>
  </si>
  <si>
    <t>AMR_PST2_SNK_CTL_P3</t>
  </si>
  <si>
    <t>AMR_DELTA2_SNK_CTL_P2</t>
  </si>
  <si>
    <t>AMR_DELTA2_SNK_CTL_P3</t>
  </si>
  <si>
    <t>P2P_VBUS_P4</t>
  </si>
  <si>
    <t>P2P_CC1_P4</t>
  </si>
  <si>
    <t>P2P_CC2_P4</t>
  </si>
  <si>
    <t>P2P_SBU1_P4</t>
  </si>
  <si>
    <t>P2P_SBU2_P4</t>
  </si>
  <si>
    <t>P2P_SBU_OVP_P4</t>
  </si>
  <si>
    <t>P2P_FRS_EN_P4</t>
  </si>
  <si>
    <t>P2P_SBU1_OUT_P4</t>
  </si>
  <si>
    <t>P2P_PA_20V5A_OFF4</t>
  </si>
  <si>
    <t>P2P_VBUS_DIV_P4</t>
  </si>
  <si>
    <t>P2P_CC1_SYS_P4</t>
  </si>
  <si>
    <t>P2P_CC2_SYS_P4</t>
  </si>
  <si>
    <t>P2P_SRC_CUR_P4</t>
  </si>
  <si>
    <t>P2P_VDDIO4</t>
  </si>
  <si>
    <t>P2P_V5V_DIV5</t>
  </si>
  <si>
    <t>P2P_SNK_CTL_P4</t>
  </si>
  <si>
    <t>P2P_SBU2_OUT_P4</t>
  </si>
  <si>
    <t>P2P_VBUS_OUT_SENS_P4</t>
  </si>
  <si>
    <t>P2P_VBUS_P5</t>
  </si>
  <si>
    <t>P2P_CC1_P5</t>
  </si>
  <si>
    <t>P2P_CC2_P5</t>
  </si>
  <si>
    <t>P2P_SBU1_P5</t>
  </si>
  <si>
    <t>P2P_SBU2_P5</t>
  </si>
  <si>
    <t>P2P_SBU_OVP_P5</t>
  </si>
  <si>
    <t>P2P_FRS_EN_P5</t>
  </si>
  <si>
    <t>P2P_SBU1_OUT_P5</t>
  </si>
  <si>
    <t>P2P_PB_20V5A_OFF5</t>
  </si>
  <si>
    <t>P2P_VBUS_DIV_P5</t>
  </si>
  <si>
    <t>P2P_CC1_SYS_P5</t>
  </si>
  <si>
    <t>P2P_CC2_SYS_P5</t>
  </si>
  <si>
    <t>P2P_SRC_CUR_P5</t>
  </si>
  <si>
    <t>P2P_SNK_CTL_P5</t>
  </si>
  <si>
    <t>P2P_SBU2_OUT_P5</t>
  </si>
  <si>
    <t>P2P_VBUS_OUT_SENS_P5</t>
  </si>
  <si>
    <t>P2P_VIN_3V5</t>
  </si>
  <si>
    <t>P2P_CESD6</t>
  </si>
  <si>
    <t>P2P_SDA7</t>
  </si>
  <si>
    <t>P2P_SCL8</t>
  </si>
  <si>
    <t>P2P_INTB9</t>
  </si>
  <si>
    <t>P2P_LDO3V5</t>
  </si>
  <si>
    <t>P2P_V5V6</t>
  </si>
  <si>
    <t>P2P_RPD1_P4</t>
  </si>
  <si>
    <t>P2P_RPD2_P4</t>
  </si>
  <si>
    <t>P2P_RPD1_P5</t>
  </si>
  <si>
    <t>P2P_RPD2_P5</t>
  </si>
  <si>
    <t>OS_SHORT_PST1</t>
  </si>
  <si>
    <t>OS_SOME_OPEN_PST2</t>
  </si>
  <si>
    <t>OS_ALL_OPEN_PST3</t>
  </si>
  <si>
    <t>OS_VBUS_P0_PST4</t>
  </si>
  <si>
    <t>OS_CC1_P0_PST5</t>
  </si>
  <si>
    <t>OS_CC2_P0_PST6</t>
  </si>
  <si>
    <t>OS_SBU1_P0_PST7</t>
  </si>
  <si>
    <t>OS_SBU2_P0_PST8</t>
  </si>
  <si>
    <t>OS_SBU_OVP_P0_PST9</t>
  </si>
  <si>
    <t>OS_FRS_EN_P0_PST10</t>
  </si>
  <si>
    <t>OS_SBU1_OUT_P0_PST11</t>
  </si>
  <si>
    <t>OS_PA_20V5A_OFF_PST12</t>
  </si>
  <si>
    <t>OS_VBUS_DIV_P0_PST13</t>
  </si>
  <si>
    <t>OS_CC1_SYS_P0_PST14</t>
  </si>
  <si>
    <t>OS_CC2_SYS_P0_PST15</t>
  </si>
  <si>
    <t>OS_SRC_CUR_P0_PST16</t>
  </si>
  <si>
    <t>OS_VDDIO_PST17</t>
  </si>
  <si>
    <t>OS_V5V_DIV_PST18</t>
  </si>
  <si>
    <t>OS_SNK_CTL_P0_PST19</t>
  </si>
  <si>
    <t>OS_SBU2_OUT_P0_PST20</t>
  </si>
  <si>
    <t>OS_VBUS_OUT_SENS_P0_PST21</t>
  </si>
  <si>
    <t>OS_VBUS_P1_PST22</t>
  </si>
  <si>
    <t>OS_CC1_P1_PST23</t>
  </si>
  <si>
    <t>OS_CC2_P1_PST24</t>
  </si>
  <si>
    <t>OS_SBU1_P1_PST25</t>
  </si>
  <si>
    <t>OS_SBU2_P1_PST26</t>
  </si>
  <si>
    <t>OS_SBU_OVP_P1_PST27</t>
  </si>
  <si>
    <t>OS_FRS_EN_P1_PST28</t>
  </si>
  <si>
    <t>OS_SBU1_OUT_P1_PST29</t>
  </si>
  <si>
    <t>OS_PB_20V5A_OFF_PST30</t>
  </si>
  <si>
    <t>OS_VBUS_DIV_P1_PST31</t>
  </si>
  <si>
    <t>OS_CC1_SYS_P1_PST32</t>
  </si>
  <si>
    <t>OS_CC2_SYS_P1_PST33</t>
  </si>
  <si>
    <t>OS_SRC_CUR_P1_PST34</t>
  </si>
  <si>
    <t>OS_SNK_CTL_P1_PST35</t>
  </si>
  <si>
    <t>OS_SBU2_OUT_P1_PST36</t>
  </si>
  <si>
    <t>OS_VBUS_OUT_SENS_P1_PST37</t>
  </si>
  <si>
    <t>OS_VIN_3V3_PST38</t>
  </si>
  <si>
    <t>OS_CESD_PST39</t>
  </si>
  <si>
    <t>OS_SDA_PST40</t>
  </si>
  <si>
    <t>OS_SCL_PST41</t>
  </si>
  <si>
    <t>OS_INTB_PST42</t>
  </si>
  <si>
    <t>OS_LDO3V3_PST43</t>
  </si>
  <si>
    <t>OS_V5V_PST44</t>
  </si>
  <si>
    <t>OS_RPD1_P0_PST45</t>
  </si>
  <si>
    <t>OS_RPD2_P0_PST46</t>
  </si>
  <si>
    <t>OS_RPD1_P1_PST47</t>
  </si>
  <si>
    <t>OS_RPD2_P1_PST48</t>
  </si>
  <si>
    <t>V01</t>
    <phoneticPr fontId="3" type="noConversion"/>
  </si>
  <si>
    <t>PGM_NAME</t>
    <phoneticPr fontId="1" type="noConversion"/>
  </si>
  <si>
    <t>V02</t>
    <phoneticPr fontId="3" type="noConversion"/>
  </si>
  <si>
    <t>V03</t>
  </si>
  <si>
    <t>V04</t>
  </si>
  <si>
    <t>V05</t>
  </si>
  <si>
    <t>V06</t>
  </si>
  <si>
    <t xml:space="preserve">add RCP trim_table for BD version </t>
  </si>
  <si>
    <t>HL5083CP00_204KM_A00_V04</t>
    <phoneticPr fontId="38" type="noConversion"/>
  </si>
  <si>
    <t>HL5083CP00_204KM_A00_V05</t>
    <phoneticPr fontId="38" type="noConversion"/>
  </si>
  <si>
    <t>HL5083CP00_204KM_A00_V06</t>
    <phoneticPr fontId="38" type="noConversion"/>
  </si>
  <si>
    <t>Change for BC Version. add SNK_RCP_trim/SBU_leakage/SBU_Clapm/SBU_Ron test.</t>
    <phoneticPr fontId="3" type="noConversion"/>
  </si>
  <si>
    <t>HL5083CP00_203KM_A00_V01</t>
    <phoneticPr fontId="38" type="noConversion"/>
  </si>
  <si>
    <t>HL5083CP00_203KM_A00_V02</t>
    <phoneticPr fontId="38" type="noConversion"/>
  </si>
  <si>
    <t>modify LDO trim target to 3.15V and  update limits.</t>
  </si>
  <si>
    <t>add RCP_trim in code</t>
    <phoneticPr fontId="3" type="noConversion"/>
  </si>
  <si>
    <t>NOTE1: Guaranteed by Design and Characterization</t>
  </si>
  <si>
    <t xml:space="preserve">NOTE2: A load current on LDO3V3 at VBUS=30V should be reduced to 50mA to avoid thermal shutdown </t>
  </si>
  <si>
    <t>GBD</t>
    <phoneticPr fontId="3" type="noConversion"/>
  </si>
  <si>
    <t>测了THSD的对应的二极管电压</t>
    <phoneticPr fontId="3" type="noConversion"/>
  </si>
  <si>
    <t>测的是VBUS=28V下的SNK_CTL电压</t>
    <phoneticPr fontId="3" type="noConversion"/>
  </si>
  <si>
    <t>测其在100uA下的电压。显示为低即可</t>
    <phoneticPr fontId="3" type="noConversion"/>
  </si>
  <si>
    <t>测了23V和21.6V这两个档位。</t>
    <phoneticPr fontId="3" type="noConversion"/>
  </si>
  <si>
    <t>RCP_SNK_VBUS_P0_5V</t>
    <phoneticPr fontId="3" type="noConversion"/>
  </si>
  <si>
    <t>RCP_SNK_VBUS_P1_5V</t>
    <phoneticPr fontId="3" type="noConversion"/>
  </si>
  <si>
    <t>RCPS_SNK_VBUS_P0_5V</t>
    <phoneticPr fontId="3" type="noConversion"/>
  </si>
  <si>
    <t>RCPS_SNK_VBUS_P1_5V</t>
    <phoneticPr fontId="3" type="noConversion"/>
  </si>
  <si>
    <t>测的1.15A档，3A跟Bench Corr过</t>
    <phoneticPr fontId="3" type="noConversion"/>
  </si>
  <si>
    <t>Trim精度保障</t>
    <phoneticPr fontId="3" type="noConversion"/>
  </si>
  <si>
    <t>RCP_SRC_VBUS_P0</t>
    <phoneticPr fontId="3" type="noConversion"/>
  </si>
  <si>
    <t>RCP_SNK_VBUS_P0_31V_POST</t>
    <phoneticPr fontId="3" type="noConversion"/>
  </si>
  <si>
    <t>Trim了440mA档位</t>
    <phoneticPr fontId="3" type="noConversion"/>
  </si>
  <si>
    <t>RPD1_P0_RD_ON</t>
    <phoneticPr fontId="3" type="noConversion"/>
  </si>
  <si>
    <t>SRC_SAT_P0_POST1</t>
    <phoneticPr fontId="3" type="noConversion"/>
  </si>
  <si>
    <t>VBUS_P0_RATIO</t>
    <phoneticPr fontId="3" type="noConversion"/>
  </si>
  <si>
    <t>测了28V下的Ratio</t>
    <phoneticPr fontId="3" type="noConversion"/>
  </si>
  <si>
    <t>测试了5.5V下的Ratio</t>
    <phoneticPr fontId="3" type="noConversion"/>
  </si>
  <si>
    <t>SRC_CUR_P0_POST</t>
    <phoneticPr fontId="3" type="noConversion"/>
  </si>
  <si>
    <t>Trim了1A下的电压</t>
    <phoneticPr fontId="3" type="noConversion"/>
  </si>
  <si>
    <t>VBUS_P0</t>
    <phoneticPr fontId="3" type="noConversion"/>
  </si>
  <si>
    <t>BIST测试覆盖</t>
    <phoneticPr fontId="3" type="noConversion"/>
  </si>
  <si>
    <t>PULLUP_SDA_R</t>
    <phoneticPr fontId="3" type="noConversion"/>
  </si>
  <si>
    <t>这个应该容易加的。但目前程序中没有</t>
    <phoneticPr fontId="3" type="noConversion"/>
  </si>
  <si>
    <t>modify the limits after 16pcsw wafer. and remove the 0.4V_SBU_Ron test.</t>
    <phoneticPr fontId="3" type="noConversion"/>
  </si>
  <si>
    <t xml:space="preserve">add the SRC_Sat trim in code and do TTR </t>
    <phoneticPr fontId="3" type="noConversion"/>
  </si>
  <si>
    <t>HL5083CP00_203KM_A00_V03</t>
    <phoneticPr fontId="38" type="noConversion"/>
  </si>
  <si>
    <t>HL5083CP00_204KM_A00_V06</t>
    <phoneticPr fontId="3" type="noConversion"/>
  </si>
  <si>
    <t>HL5083A-BD ATE Test Item</t>
    <phoneticPr fontId="3" type="noConversion"/>
  </si>
  <si>
    <t>P2P_VBUS_P0_AllFail</t>
  </si>
  <si>
    <t>OTP_INIT</t>
  </si>
  <si>
    <t>REG_55AA</t>
  </si>
  <si>
    <t>AMR_PRE_LKG</t>
  </si>
  <si>
    <t>AMR_LKG</t>
  </si>
  <si>
    <t>TRIM_VBG_IREF_OSC_LDO</t>
  </si>
  <si>
    <t>TRIM_SRC_LIN_SAT_CUR</t>
  </si>
  <si>
    <t>TRIM_VCON</t>
  </si>
  <si>
    <t>TRIM_SNK_RCPS</t>
  </si>
  <si>
    <t>TRIM_POST</t>
  </si>
  <si>
    <t>IQ</t>
  </si>
  <si>
    <t>UVLO_LDO</t>
  </si>
  <si>
    <t>Ron_CC</t>
  </si>
  <si>
    <t>SNK_RCP_RCPS</t>
  </si>
  <si>
    <t>SNK_CTRL</t>
  </si>
  <si>
    <t>CC_OV</t>
  </si>
  <si>
    <t>Ron_lkg_CC</t>
  </si>
  <si>
    <t>RON_VCON</t>
  </si>
  <si>
    <t>TIMMING</t>
  </si>
  <si>
    <t>BIST</t>
  </si>
  <si>
    <t>RATIO</t>
  </si>
  <si>
    <t>POST_AMR_LKG</t>
  </si>
  <si>
    <t>QA_FAIL</t>
    <phoneticPr fontId="3" type="noConversion"/>
  </si>
  <si>
    <t>PASS_DPAT</t>
    <phoneticPr fontId="3" type="noConversion"/>
  </si>
  <si>
    <t>Pass_Default</t>
    <phoneticPr fontId="3" type="noConversion"/>
  </si>
  <si>
    <t>P</t>
    <phoneticPr fontId="3" type="noConversion"/>
  </si>
  <si>
    <t>F</t>
    <phoneticPr fontId="3" type="noConversion"/>
  </si>
  <si>
    <t>Author</t>
    <phoneticPr fontId="3" type="noConversion"/>
  </si>
  <si>
    <t>Hongen.liu</t>
    <phoneticPr fontId="3" type="noConversion"/>
  </si>
  <si>
    <t>POST_OS</t>
    <phoneticPr fontId="3" type="noConversion"/>
  </si>
  <si>
    <t>P0ST_P2P</t>
    <phoneticPr fontId="3" type="noConversion"/>
  </si>
  <si>
    <t>DPAT_FAIL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</si>
</sst>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Arial"/>
      <family val="2"/>
      <charset val="134"/>
    </font>
    <font>
      <sz val="10"/>
      <color theme="1"/>
      <name val="Arial"/>
      <family val="3"/>
      <charset val="134"/>
    </font>
    <font>
      <b/>
      <sz val="11"/>
      <name val="Arial"/>
      <family val="2"/>
    </font>
    <font>
      <sz val="11"/>
      <color theme="1"/>
      <name val="等线"/>
      <family val="3"/>
      <charset val="134"/>
      <scheme val="minor"/>
    </font>
    <font>
      <sz val="18"/>
      <color theme="1"/>
      <name val="Arial"/>
      <family val="2"/>
    </font>
    <font>
      <b/>
      <sz val="11"/>
      <name val="微软雅黑"/>
      <family val="2"/>
      <charset val="134"/>
    </font>
    <font>
      <b/>
      <sz val="11"/>
      <name val="Arial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0000FF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color rgb="FF000000"/>
      <name val="等线"/>
      <family val="3"/>
      <charset val="134"/>
    </font>
    <font>
      <sz val="1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8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sz val="6"/>
      <color theme="1"/>
      <name val="Arial"/>
      <family val="2"/>
    </font>
    <font>
      <sz val="11"/>
      <color theme="1"/>
      <name val="Times New Roman"/>
      <family val="1"/>
    </font>
    <font>
      <sz val="7.5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vertAlign val="sub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vertAlign val="subscript"/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vertAlign val="subscript"/>
      <sz val="9"/>
      <color rgb="FF000000"/>
      <name val="Arial"/>
      <family val="2"/>
    </font>
    <font>
      <sz val="11"/>
      <color rgb="FF8B949E"/>
      <name val="Consolas"/>
      <family val="3"/>
    </font>
    <font>
      <sz val="11"/>
      <color rgb="FF000000"/>
      <name val="Calibri"/>
      <family val="2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9" fillId="0" borderId="0">
      <alignment vertical="center"/>
    </xf>
  </cellStyleXfs>
  <cellXfs count="138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/>
    </xf>
    <xf numFmtId="0" fontId="0" fillId="0" borderId="3" xfId="0" applyBorder="1" applyAlignment="1">
      <alignment vertical="center"/>
    </xf>
    <xf numFmtId="0" fontId="21" fillId="3" borderId="13" xfId="0" applyFont="1" applyFill="1" applyBorder="1" applyAlignment="1">
      <alignment horizontal="justify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justify" vertical="center" wrapText="1"/>
    </xf>
    <xf numFmtId="0" fontId="22" fillId="0" borderId="3" xfId="0" applyFont="1" applyBorder="1" applyAlignment="1">
      <alignment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justify" vertical="center" wrapText="1"/>
    </xf>
    <xf numFmtId="0" fontId="23" fillId="5" borderId="3" xfId="0" applyFont="1" applyFill="1" applyBorder="1" applyAlignment="1">
      <alignment horizontal="justify" vertical="center" wrapText="1"/>
    </xf>
    <xf numFmtId="9" fontId="22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justify" vertical="center" wrapText="1"/>
    </xf>
    <xf numFmtId="0" fontId="23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10" fontId="22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22" fillId="0" borderId="19" xfId="0" applyFont="1" applyBorder="1" applyAlignment="1">
      <alignment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1" xfId="0" applyFont="1" applyBorder="1" applyAlignment="1">
      <alignment vertical="center" wrapText="1"/>
    </xf>
    <xf numFmtId="0" fontId="23" fillId="5" borderId="21" xfId="0" applyFont="1" applyFill="1" applyBorder="1" applyAlignment="1">
      <alignment vertical="center" wrapText="1"/>
    </xf>
    <xf numFmtId="0" fontId="23" fillId="0" borderId="21" xfId="0" applyFont="1" applyBorder="1" applyAlignment="1">
      <alignment horizontal="justify" vertical="center" wrapText="1"/>
    </xf>
    <xf numFmtId="0" fontId="22" fillId="0" borderId="21" xfId="0" applyFont="1" applyBorder="1" applyAlignment="1">
      <alignment horizontal="justify" vertical="center" wrapText="1"/>
    </xf>
    <xf numFmtId="0" fontId="29" fillId="0" borderId="23" xfId="0" applyFont="1" applyBorder="1" applyAlignment="1">
      <alignment horizontal="justify" vertical="center" wrapText="1"/>
    </xf>
    <xf numFmtId="0" fontId="29" fillId="0" borderId="24" xfId="0" applyFont="1" applyBorder="1" applyAlignment="1">
      <alignment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vertical="center" wrapText="1"/>
    </xf>
    <xf numFmtId="0" fontId="0" fillId="0" borderId="22" xfId="0" applyBorder="1" applyAlignment="1">
      <alignment vertical="center"/>
    </xf>
    <xf numFmtId="0" fontId="22" fillId="0" borderId="21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3" xfId="0" applyFont="1" applyBorder="1" applyAlignment="1">
      <alignment horizontal="center"/>
    </xf>
    <xf numFmtId="14" fontId="37" fillId="0" borderId="3" xfId="0" applyNumberFormat="1" applyFont="1" applyBorder="1" applyAlignment="1">
      <alignment horizontal="center" wrapText="1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29" fillId="0" borderId="0" xfId="0" applyFont="1" applyAlignment="1">
      <alignment vertical="center"/>
    </xf>
    <xf numFmtId="0" fontId="14" fillId="0" borderId="19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24" fillId="0" borderId="3" xfId="0" applyFont="1" applyBorder="1" applyAlignment="1">
      <alignment horizontal="left" vertical="center" wrapText="1"/>
    </xf>
    <xf numFmtId="49" fontId="26" fillId="0" borderId="3" xfId="0" applyNumberFormat="1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quotePrefix="1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Border="1"/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0" fontId="4" fillId="0" borderId="22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13" fillId="0" borderId="26" xfId="0" applyFont="1" applyBorder="1" applyAlignment="1">
      <alignment horizontal="center"/>
    </xf>
    <xf numFmtId="14" fontId="37" fillId="0" borderId="27" xfId="0" applyNumberFormat="1" applyFont="1" applyBorder="1" applyAlignment="1">
      <alignment horizont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vertical="center" wrapText="1"/>
    </xf>
    <xf numFmtId="0" fontId="21" fillId="4" borderId="15" xfId="0" applyFont="1" applyFill="1" applyBorder="1" applyAlignment="1">
      <alignment vertical="center" wrapText="1"/>
    </xf>
    <xf numFmtId="0" fontId="21" fillId="4" borderId="21" xfId="0" applyFont="1" applyFill="1" applyBorder="1" applyAlignment="1">
      <alignment vertical="center" wrapText="1"/>
    </xf>
    <xf numFmtId="0" fontId="21" fillId="4" borderId="3" xfId="0" applyFont="1" applyFill="1" applyBorder="1" applyAlignment="1">
      <alignment vertical="center" wrapText="1"/>
    </xf>
    <xf numFmtId="0" fontId="21" fillId="4" borderId="27" xfId="0" applyFont="1" applyFill="1" applyBorder="1" applyAlignment="1">
      <alignment vertical="center" wrapText="1"/>
    </xf>
    <xf numFmtId="0" fontId="21" fillId="5" borderId="21" xfId="0" applyFont="1" applyFill="1" applyBorder="1" applyAlignment="1">
      <alignment vertical="center" wrapText="1"/>
    </xf>
    <xf numFmtId="0" fontId="21" fillId="5" borderId="3" xfId="0" applyFont="1" applyFill="1" applyBorder="1" applyAlignment="1">
      <alignment vertical="center" wrapText="1"/>
    </xf>
    <xf numFmtId="0" fontId="21" fillId="5" borderId="27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vertical="center" wrapText="1"/>
    </xf>
    <xf numFmtId="0" fontId="22" fillId="0" borderId="3" xfId="0" applyFont="1" applyBorder="1" applyAlignment="1">
      <alignment horizontal="justify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justify" vertical="center" wrapText="1"/>
    </xf>
    <xf numFmtId="0" fontId="23" fillId="0" borderId="3" xfId="0" applyFont="1" applyBorder="1" applyAlignment="1">
      <alignment horizontal="justify" vertical="center" wrapText="1"/>
    </xf>
    <xf numFmtId="0" fontId="22" fillId="0" borderId="3" xfId="0" applyFont="1" applyBorder="1" applyAlignment="1">
      <alignment vertical="center" wrapText="1"/>
    </xf>
    <xf numFmtId="0" fontId="23" fillId="0" borderId="27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justify" vertical="center" wrapText="1"/>
    </xf>
    <xf numFmtId="10" fontId="22" fillId="0" borderId="3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8" fillId="0" borderId="21" xfId="0" applyFont="1" applyBorder="1" applyAlignment="1">
      <alignment vertical="center" wrapText="1"/>
    </xf>
    <xf numFmtId="0" fontId="28" fillId="0" borderId="3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indent="13"/>
    </xf>
    <xf numFmtId="0" fontId="5" fillId="2" borderId="0" xfId="0" applyFont="1" applyFill="1" applyAlignment="1">
      <alignment horizontal="left" vertical="center" indent="13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305DE37F-F79B-4D66-9465-34913E17B1F1}"/>
    <cellStyle name="常规 3" xfId="2" xr:uid="{88305965-8220-483F-88AB-DEEEEDE9DF7E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17780</xdr:rowOff>
    </xdr:from>
    <xdr:to>
      <xdr:col>1</xdr:col>
      <xdr:colOff>168047</xdr:colOff>
      <xdr:row>2</xdr:row>
      <xdr:rowOff>2540</xdr:rowOff>
    </xdr:to>
    <xdr:pic>
      <xdr:nvPicPr>
        <xdr:cNvPr id="4" name="图片 3" descr="资源 1">
          <a:extLst>
            <a:ext uri="{FF2B5EF4-FFF2-40B4-BE49-F238E27FC236}">
              <a16:creationId xmlns:a16="http://schemas.microsoft.com/office/drawing/2014/main" id="{8B6D46E7-5AF2-4C39-9318-7643720AD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80"/>
          <a:ext cx="861467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17780</xdr:rowOff>
    </xdr:from>
    <xdr:to>
      <xdr:col>1</xdr:col>
      <xdr:colOff>1004027</xdr:colOff>
      <xdr:row>0</xdr:row>
      <xdr:rowOff>408214</xdr:rowOff>
    </xdr:to>
    <xdr:pic>
      <xdr:nvPicPr>
        <xdr:cNvPr id="3" name="图片 2" descr="资源 1">
          <a:extLst>
            <a:ext uri="{FF2B5EF4-FFF2-40B4-BE49-F238E27FC236}">
              <a16:creationId xmlns:a16="http://schemas.microsoft.com/office/drawing/2014/main" id="{70C68516-BBF3-49AF-B6BA-72665D5B7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80"/>
          <a:ext cx="2283098" cy="390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1</xdr:col>
      <xdr:colOff>193447</xdr:colOff>
      <xdr:row>2</xdr:row>
      <xdr:rowOff>1270</xdr:rowOff>
    </xdr:to>
    <xdr:pic>
      <xdr:nvPicPr>
        <xdr:cNvPr id="3" name="图片 2" descr="资源 1">
          <a:extLst>
            <a:ext uri="{FF2B5EF4-FFF2-40B4-BE49-F238E27FC236}">
              <a16:creationId xmlns:a16="http://schemas.microsoft.com/office/drawing/2014/main" id="{BBCBD490-282A-4A42-98AA-9898553F9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856387" cy="344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</xdr:colOff>
      <xdr:row>0</xdr:row>
      <xdr:rowOff>0</xdr:rowOff>
    </xdr:from>
    <xdr:to>
      <xdr:col>1</xdr:col>
      <xdr:colOff>193447</xdr:colOff>
      <xdr:row>2</xdr:row>
      <xdr:rowOff>1270</xdr:rowOff>
    </xdr:to>
    <xdr:pic>
      <xdr:nvPicPr>
        <xdr:cNvPr id="2" name="图片 1" descr="资源 1">
          <a:extLst>
            <a:ext uri="{FF2B5EF4-FFF2-40B4-BE49-F238E27FC236}">
              <a16:creationId xmlns:a16="http://schemas.microsoft.com/office/drawing/2014/main" id="{5A9CC903-5453-492A-827B-2FB455821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852577" cy="337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0</xdr:rowOff>
    </xdr:from>
    <xdr:to>
      <xdr:col>1</xdr:col>
      <xdr:colOff>378867</xdr:colOff>
      <xdr:row>1</xdr:row>
      <xdr:rowOff>165100</xdr:rowOff>
    </xdr:to>
    <xdr:pic>
      <xdr:nvPicPr>
        <xdr:cNvPr id="3" name="图片 2" descr="资源 1">
          <a:extLst>
            <a:ext uri="{FF2B5EF4-FFF2-40B4-BE49-F238E27FC236}">
              <a16:creationId xmlns:a16="http://schemas.microsoft.com/office/drawing/2014/main" id="{594A174A-AD5B-44D3-8773-9E3D9FB11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0"/>
          <a:ext cx="848767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B3BF-8E61-464B-AF85-1CDC30AB11ED}">
  <dimension ref="A1:H23"/>
  <sheetViews>
    <sheetView workbookViewId="0">
      <selection activeCell="E39" sqref="E39"/>
    </sheetView>
  </sheetViews>
  <sheetFormatPr defaultColWidth="9.08203125" defaultRowHeight="14" x14ac:dyDescent="0.3"/>
  <cols>
    <col min="1" max="1" width="9.58203125" customWidth="1"/>
    <col min="2" max="2" width="25.58203125" bestFit="1" customWidth="1"/>
    <col min="3" max="3" width="12.58203125" bestFit="1" customWidth="1"/>
    <col min="4" max="4" width="10" bestFit="1" customWidth="1"/>
    <col min="5" max="5" width="71.58203125" customWidth="1"/>
  </cols>
  <sheetData>
    <row r="1" spans="1:8" x14ac:dyDescent="0.3">
      <c r="A1" s="89"/>
      <c r="B1" s="90"/>
      <c r="C1" s="90"/>
      <c r="D1" s="90"/>
      <c r="E1" s="90"/>
    </row>
    <row r="2" spans="1:8" ht="14.5" thickBot="1" x14ac:dyDescent="0.35">
      <c r="A2" s="91" t="s">
        <v>25</v>
      </c>
      <c r="B2" s="91"/>
      <c r="C2" s="91"/>
      <c r="D2" s="91"/>
      <c r="E2" s="91"/>
    </row>
    <row r="3" spans="1:8" x14ac:dyDescent="0.3">
      <c r="A3" s="59" t="s">
        <v>0</v>
      </c>
      <c r="B3" s="60" t="s">
        <v>1584</v>
      </c>
      <c r="C3" s="60" t="s">
        <v>1</v>
      </c>
      <c r="D3" s="85" t="s">
        <v>1658</v>
      </c>
      <c r="E3" s="61" t="s">
        <v>2</v>
      </c>
    </row>
    <row r="4" spans="1:8" ht="14.5" x14ac:dyDescent="0.35">
      <c r="A4" s="74" t="s">
        <v>1583</v>
      </c>
      <c r="B4" s="57" t="s">
        <v>1595</v>
      </c>
      <c r="C4" s="58">
        <v>46026</v>
      </c>
      <c r="D4" s="86" t="s">
        <v>1659</v>
      </c>
      <c r="E4" s="75" t="s">
        <v>1594</v>
      </c>
    </row>
    <row r="5" spans="1:8" ht="14.5" x14ac:dyDescent="0.35">
      <c r="A5" s="74" t="s">
        <v>1585</v>
      </c>
      <c r="B5" s="57" t="s">
        <v>1596</v>
      </c>
      <c r="C5" s="58">
        <v>46029</v>
      </c>
      <c r="D5" s="86" t="s">
        <v>1659</v>
      </c>
      <c r="E5" s="76" t="s">
        <v>1598</v>
      </c>
    </row>
    <row r="6" spans="1:8" ht="14.5" x14ac:dyDescent="0.35">
      <c r="A6" s="74" t="s">
        <v>1586</v>
      </c>
      <c r="B6" s="57" t="s">
        <v>1628</v>
      </c>
      <c r="C6" s="58">
        <v>46038</v>
      </c>
      <c r="D6" s="86" t="s">
        <v>1659</v>
      </c>
      <c r="E6" s="76" t="s">
        <v>1626</v>
      </c>
    </row>
    <row r="7" spans="1:8" ht="14.5" x14ac:dyDescent="0.35">
      <c r="A7" s="74" t="s">
        <v>1587</v>
      </c>
      <c r="B7" s="57" t="s">
        <v>1591</v>
      </c>
      <c r="C7" s="58">
        <v>46041</v>
      </c>
      <c r="D7" s="86" t="s">
        <v>1659</v>
      </c>
      <c r="E7" s="77" t="s">
        <v>1590</v>
      </c>
      <c r="H7" s="56"/>
    </row>
    <row r="8" spans="1:8" ht="14.5" x14ac:dyDescent="0.35">
      <c r="A8" s="74" t="s">
        <v>1588</v>
      </c>
      <c r="B8" s="57" t="s">
        <v>1592</v>
      </c>
      <c r="C8" s="58">
        <v>46107</v>
      </c>
      <c r="D8" s="86" t="s">
        <v>1659</v>
      </c>
      <c r="E8" s="77" t="s">
        <v>1597</v>
      </c>
      <c r="H8" s="56"/>
    </row>
    <row r="9" spans="1:8" ht="14.5" x14ac:dyDescent="0.35">
      <c r="A9" s="74" t="s">
        <v>1589</v>
      </c>
      <c r="B9" s="57" t="s">
        <v>1593</v>
      </c>
      <c r="C9" s="58">
        <v>46139</v>
      </c>
      <c r="D9" s="86" t="s">
        <v>1659</v>
      </c>
      <c r="E9" s="77" t="s">
        <v>1627</v>
      </c>
      <c r="H9" s="56"/>
    </row>
    <row r="10" spans="1:8" ht="14.5" x14ac:dyDescent="0.3">
      <c r="A10" s="62"/>
      <c r="B10" s="3"/>
      <c r="C10" s="3"/>
      <c r="D10" s="87"/>
      <c r="E10" s="63"/>
      <c r="H10" s="56"/>
    </row>
    <row r="11" spans="1:8" ht="14.5" x14ac:dyDescent="0.3">
      <c r="A11" s="62"/>
      <c r="B11" s="3"/>
      <c r="C11" s="3"/>
      <c r="D11" s="87"/>
      <c r="E11" s="63"/>
      <c r="H11" s="56"/>
    </row>
    <row r="12" spans="1:8" ht="14.5" x14ac:dyDescent="0.3">
      <c r="A12" s="62"/>
      <c r="B12" s="3"/>
      <c r="C12" s="3"/>
      <c r="D12" s="87"/>
      <c r="E12" s="63"/>
      <c r="H12" s="56"/>
    </row>
    <row r="13" spans="1:8" ht="14.5" x14ac:dyDescent="0.3">
      <c r="A13" s="62"/>
      <c r="B13" s="3"/>
      <c r="C13" s="3"/>
      <c r="D13" s="87"/>
      <c r="E13" s="63"/>
      <c r="H13" s="56"/>
    </row>
    <row r="14" spans="1:8" ht="14.5" x14ac:dyDescent="0.3">
      <c r="A14" s="62"/>
      <c r="B14" s="3"/>
      <c r="C14" s="3"/>
      <c r="D14" s="87"/>
      <c r="E14" s="63"/>
      <c r="H14" s="56"/>
    </row>
    <row r="15" spans="1:8" ht="14.5" x14ac:dyDescent="0.3">
      <c r="A15" s="62"/>
      <c r="B15" s="3"/>
      <c r="C15" s="3"/>
      <c r="D15" s="87"/>
      <c r="E15" s="63"/>
      <c r="H15" s="56"/>
    </row>
    <row r="16" spans="1:8" ht="14.5" x14ac:dyDescent="0.3">
      <c r="A16" s="62"/>
      <c r="B16" s="3"/>
      <c r="C16" s="3"/>
      <c r="D16" s="87"/>
      <c r="E16" s="63"/>
      <c r="H16" s="56"/>
    </row>
    <row r="17" spans="1:8" ht="14.5" x14ac:dyDescent="0.3">
      <c r="A17" s="62"/>
      <c r="B17" s="3"/>
      <c r="C17" s="3"/>
      <c r="D17" s="87"/>
      <c r="E17" s="63"/>
      <c r="H17" s="56"/>
    </row>
    <row r="18" spans="1:8" ht="14.5" x14ac:dyDescent="0.3">
      <c r="A18" s="62"/>
      <c r="B18" s="3"/>
      <c r="C18" s="3"/>
      <c r="D18" s="87"/>
      <c r="E18" s="63"/>
      <c r="H18" s="56"/>
    </row>
    <row r="19" spans="1:8" ht="14.5" x14ac:dyDescent="0.3">
      <c r="A19" s="62"/>
      <c r="B19" s="3"/>
      <c r="C19" s="3"/>
      <c r="D19" s="87"/>
      <c r="E19" s="63"/>
      <c r="H19" s="56"/>
    </row>
    <row r="20" spans="1:8" ht="14.5" x14ac:dyDescent="0.3">
      <c r="A20" s="62"/>
      <c r="B20" s="3"/>
      <c r="C20" s="3"/>
      <c r="D20" s="87"/>
      <c r="E20" s="63"/>
      <c r="H20" s="56"/>
    </row>
    <row r="21" spans="1:8" x14ac:dyDescent="0.3">
      <c r="A21" s="62"/>
      <c r="B21" s="3"/>
      <c r="C21" s="3"/>
      <c r="D21" s="87"/>
      <c r="E21" s="63"/>
    </row>
    <row r="22" spans="1:8" x14ac:dyDescent="0.3">
      <c r="A22" s="62"/>
      <c r="B22" s="3"/>
      <c r="C22" s="3"/>
      <c r="D22" s="87"/>
      <c r="E22" s="63"/>
    </row>
    <row r="23" spans="1:8" ht="14.5" thickBot="1" x14ac:dyDescent="0.35">
      <c r="A23" s="64"/>
      <c r="B23" s="52"/>
      <c r="C23" s="52"/>
      <c r="D23" s="88"/>
      <c r="E23" s="65"/>
    </row>
  </sheetData>
  <mergeCells count="2">
    <mergeCell ref="A1:E1"/>
    <mergeCell ref="A2:E2"/>
  </mergeCells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13C4-F01D-4E0E-8260-BF84C41EC1EF}">
  <dimension ref="A1:P132"/>
  <sheetViews>
    <sheetView topLeftCell="A50" zoomScale="85" zoomScaleNormal="85" workbookViewId="0">
      <selection activeCell="I65" sqref="I65"/>
    </sheetView>
  </sheetViews>
  <sheetFormatPr defaultRowHeight="14" x14ac:dyDescent="0.3"/>
  <cols>
    <col min="1" max="1" width="25.75" customWidth="1"/>
    <col min="2" max="2" width="33.83203125" customWidth="1"/>
    <col min="3" max="3" width="41.83203125" customWidth="1"/>
    <col min="8" max="8" width="10.25" bestFit="1" customWidth="1"/>
    <col min="9" max="9" width="27.58203125" style="72" bestFit="1" customWidth="1"/>
    <col min="10" max="10" width="8.5" style="53" customWidth="1"/>
    <col min="11" max="11" width="9.5" style="53" customWidth="1"/>
    <col min="12" max="12" width="7.08203125" style="53" bestFit="1" customWidth="1"/>
    <col min="13" max="13" width="33.58203125" customWidth="1"/>
    <col min="14" max="14" width="35.83203125" bestFit="1" customWidth="1"/>
    <col min="15" max="16" width="6.75" customWidth="1"/>
  </cols>
  <sheetData>
    <row r="1" spans="1:16" ht="34" customHeight="1" thickBot="1" x14ac:dyDescent="0.35">
      <c r="A1" s="100" t="s">
        <v>26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"/>
      <c r="O1" s="10"/>
      <c r="P1" s="10"/>
    </row>
    <row r="2" spans="1:16" ht="23" thickBot="1" x14ac:dyDescent="0.35">
      <c r="A2" s="101" t="s">
        <v>450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  <c r="N2" s="50"/>
      <c r="O2" s="50"/>
      <c r="P2" s="50"/>
    </row>
    <row r="3" spans="1:16" ht="14.5" thickBot="1" x14ac:dyDescent="0.35">
      <c r="A3" s="104" t="s">
        <v>34</v>
      </c>
      <c r="B3" s="105"/>
      <c r="C3" s="105"/>
      <c r="D3" s="105"/>
      <c r="E3" s="105"/>
      <c r="F3" s="105"/>
      <c r="G3" s="106"/>
      <c r="H3" s="117" t="s">
        <v>40</v>
      </c>
      <c r="I3" s="117"/>
      <c r="J3" s="117"/>
      <c r="K3" s="117"/>
      <c r="L3" s="117"/>
      <c r="M3" s="118"/>
    </row>
    <row r="4" spans="1:16" s="9" customFormat="1" ht="32.25" customHeight="1" thickTop="1" thickBot="1" x14ac:dyDescent="0.35">
      <c r="A4" s="15" t="s">
        <v>4</v>
      </c>
      <c r="B4" s="12" t="s">
        <v>62</v>
      </c>
      <c r="C4" s="12" t="s">
        <v>63</v>
      </c>
      <c r="D4" s="13" t="s">
        <v>64</v>
      </c>
      <c r="E4" s="13" t="s">
        <v>65</v>
      </c>
      <c r="F4" s="13" t="s">
        <v>5</v>
      </c>
      <c r="G4" s="14" t="s">
        <v>6</v>
      </c>
      <c r="H4" s="42" t="s">
        <v>296</v>
      </c>
      <c r="I4" s="67" t="s">
        <v>35</v>
      </c>
      <c r="J4" s="43" t="s">
        <v>36</v>
      </c>
      <c r="K4" s="43" t="s">
        <v>37</v>
      </c>
      <c r="L4" s="43" t="s">
        <v>7</v>
      </c>
      <c r="M4" s="44" t="s">
        <v>66</v>
      </c>
    </row>
    <row r="5" spans="1:16" s="9" customFormat="1" ht="15" thickTop="1" thickBot="1" x14ac:dyDescent="0.35">
      <c r="A5" s="92" t="s">
        <v>67</v>
      </c>
      <c r="B5" s="93"/>
      <c r="C5" s="93"/>
      <c r="D5" s="93"/>
      <c r="E5" s="93"/>
      <c r="F5" s="93"/>
      <c r="G5" s="93"/>
      <c r="H5" s="45"/>
      <c r="I5" s="68"/>
      <c r="J5" s="3"/>
      <c r="K5" s="3"/>
      <c r="L5" s="3"/>
      <c r="M5" s="46"/>
      <c r="N5" s="51"/>
      <c r="O5" s="51"/>
      <c r="P5" s="51"/>
    </row>
    <row r="6" spans="1:16" s="9" customFormat="1" ht="42" x14ac:dyDescent="0.3">
      <c r="A6" s="27" t="s">
        <v>297</v>
      </c>
      <c r="B6" s="28" t="s">
        <v>298</v>
      </c>
      <c r="C6" s="28" t="s">
        <v>299</v>
      </c>
      <c r="D6" s="29"/>
      <c r="E6" s="29">
        <v>85</v>
      </c>
      <c r="F6" s="29">
        <v>110</v>
      </c>
      <c r="G6" s="38" t="s">
        <v>68</v>
      </c>
      <c r="H6" s="47" t="s">
        <v>3</v>
      </c>
      <c r="I6" s="68" t="s">
        <v>69</v>
      </c>
      <c r="J6" s="3">
        <f>IF(I6&lt;&gt;"",VLOOKUP(I6,'Test Item'!C:H,2,0),"")</f>
        <v>60</v>
      </c>
      <c r="K6" s="3">
        <f>IF(I6&lt;&gt;"",VLOOKUP(I6,'Test Item'!C:H,3,0),"")</f>
        <v>95</v>
      </c>
      <c r="L6" s="3" t="str">
        <f>IF(I6&lt;&gt;"",VLOOKUP(I6,'Test Item'!C:H,4,0),"")</f>
        <v>uA</v>
      </c>
      <c r="M6" s="46"/>
      <c r="N6" s="51"/>
      <c r="O6"/>
    </row>
    <row r="7" spans="1:16" s="9" customFormat="1" ht="30" x14ac:dyDescent="0.3">
      <c r="A7" s="30" t="s">
        <v>300</v>
      </c>
      <c r="B7" s="16" t="s">
        <v>70</v>
      </c>
      <c r="C7" s="16" t="s">
        <v>301</v>
      </c>
      <c r="D7" s="17"/>
      <c r="E7" s="17">
        <v>185</v>
      </c>
      <c r="F7" s="17">
        <v>220</v>
      </c>
      <c r="G7" s="39" t="s">
        <v>68</v>
      </c>
      <c r="H7" s="47" t="s">
        <v>3</v>
      </c>
      <c r="I7" s="68" t="s">
        <v>71</v>
      </c>
      <c r="J7" s="3">
        <f>IF(I7&lt;&gt;"",VLOOKUP(I7,'Test Item'!C:H,2,0),"")</f>
        <v>170</v>
      </c>
      <c r="K7" s="3">
        <f>IF(I7&lt;&gt;"",VLOOKUP(I7,'Test Item'!C:H,3,0),"")</f>
        <v>217</v>
      </c>
      <c r="L7" s="3" t="str">
        <f>IF(I7&lt;&gt;"",VLOOKUP(I7,'Test Item'!C:H,4,0),"")</f>
        <v>uA</v>
      </c>
      <c r="M7" s="46"/>
      <c r="N7" s="51"/>
      <c r="O7"/>
    </row>
    <row r="8" spans="1:16" s="9" customFormat="1" ht="30" x14ac:dyDescent="0.3">
      <c r="A8" s="30" t="s">
        <v>302</v>
      </c>
      <c r="B8" s="16" t="s">
        <v>72</v>
      </c>
      <c r="C8" s="16" t="s">
        <v>301</v>
      </c>
      <c r="D8" s="17"/>
      <c r="E8" s="17">
        <v>310</v>
      </c>
      <c r="F8" s="17">
        <v>360</v>
      </c>
      <c r="G8" s="39" t="s">
        <v>68</v>
      </c>
      <c r="H8" s="47" t="s">
        <v>3</v>
      </c>
      <c r="I8" s="68" t="s">
        <v>73</v>
      </c>
      <c r="J8" s="3">
        <f>IF(I8&lt;&gt;"",VLOOKUP(I8,'Test Item'!C:H,2,0),"")</f>
        <v>260</v>
      </c>
      <c r="K8" s="3">
        <f>IF(I8&lt;&gt;"",VLOOKUP(I8,'Test Item'!C:H,3,0),"")</f>
        <v>355</v>
      </c>
      <c r="L8" s="3" t="str">
        <f>IF(I8&lt;&gt;"",VLOOKUP(I8,'Test Item'!C:H,4,0),"")</f>
        <v>uA</v>
      </c>
      <c r="M8" s="46"/>
      <c r="N8" s="51"/>
      <c r="O8"/>
    </row>
    <row r="9" spans="1:16" s="9" customFormat="1" ht="30" x14ac:dyDescent="0.3">
      <c r="A9" s="30" t="s">
        <v>303</v>
      </c>
      <c r="B9" s="16" t="s">
        <v>74</v>
      </c>
      <c r="C9" s="16" t="s">
        <v>304</v>
      </c>
      <c r="D9" s="17"/>
      <c r="E9" s="17">
        <v>260</v>
      </c>
      <c r="F9" s="17">
        <v>330</v>
      </c>
      <c r="G9" s="39" t="s">
        <v>68</v>
      </c>
      <c r="H9" s="47" t="s">
        <v>3</v>
      </c>
      <c r="I9" s="68" t="s">
        <v>75</v>
      </c>
      <c r="J9" s="3">
        <f>IF(I9&lt;&gt;"",VLOOKUP(I9,'Test Item'!C:H,2,0),"")</f>
        <v>225</v>
      </c>
      <c r="K9" s="3">
        <f>IF(I9&lt;&gt;"",VLOOKUP(I9,'Test Item'!C:H,3,0),"")</f>
        <v>325</v>
      </c>
      <c r="L9" s="3" t="str">
        <f>IF(I9&lt;&gt;"",VLOOKUP(I9,'Test Item'!C:H,4,0),"")</f>
        <v>uA</v>
      </c>
      <c r="M9" s="46"/>
      <c r="N9" s="51"/>
      <c r="O9"/>
    </row>
    <row r="10" spans="1:16" s="9" customFormat="1" ht="30" x14ac:dyDescent="0.3">
      <c r="A10" s="30" t="s">
        <v>305</v>
      </c>
      <c r="B10" s="16" t="s">
        <v>76</v>
      </c>
      <c r="C10" s="16" t="s">
        <v>304</v>
      </c>
      <c r="D10" s="17"/>
      <c r="E10" s="17">
        <v>220</v>
      </c>
      <c r="F10" s="17">
        <v>280</v>
      </c>
      <c r="G10" s="39" t="s">
        <v>68</v>
      </c>
      <c r="H10" s="47" t="s">
        <v>3</v>
      </c>
      <c r="I10" s="68" t="s">
        <v>77</v>
      </c>
      <c r="J10" s="3">
        <f>IF(I10&lt;&gt;"",VLOOKUP(I10,'Test Item'!C:H,2,0),"")</f>
        <v>190</v>
      </c>
      <c r="K10" s="3">
        <f>IF(I10&lt;&gt;"",VLOOKUP(I10,'Test Item'!C:H,3,0),"")</f>
        <v>250</v>
      </c>
      <c r="L10" s="3" t="str">
        <f>IF(I10&lt;&gt;"",VLOOKUP(I10,'Test Item'!C:H,4,0),"")</f>
        <v>uA</v>
      </c>
      <c r="M10" s="46"/>
      <c r="N10" s="51"/>
      <c r="O10"/>
    </row>
    <row r="11" spans="1:16" s="9" customFormat="1" ht="30" x14ac:dyDescent="0.3">
      <c r="A11" s="30" t="s">
        <v>306</v>
      </c>
      <c r="B11" s="16" t="s">
        <v>78</v>
      </c>
      <c r="C11" s="16" t="s">
        <v>307</v>
      </c>
      <c r="D11" s="17"/>
      <c r="E11" s="17">
        <v>50</v>
      </c>
      <c r="F11" s="17">
        <v>65</v>
      </c>
      <c r="G11" s="39" t="s">
        <v>68</v>
      </c>
      <c r="H11" s="47" t="s">
        <v>3</v>
      </c>
      <c r="I11" s="68" t="s">
        <v>79</v>
      </c>
      <c r="J11" s="3">
        <f>IF(I11&lt;&gt;"",VLOOKUP(I11,'Test Item'!C:H,2,0),"")</f>
        <v>30</v>
      </c>
      <c r="K11" s="3">
        <f>IF(I11&lt;&gt;"",VLOOKUP(I11,'Test Item'!C:H,3,0),"")</f>
        <v>63</v>
      </c>
      <c r="L11" s="3" t="str">
        <f>IF(I11&lt;&gt;"",VLOOKUP(I11,'Test Item'!C:H,4,0),"")</f>
        <v>uA</v>
      </c>
      <c r="M11" s="46"/>
      <c r="N11" s="51"/>
      <c r="O11"/>
    </row>
    <row r="12" spans="1:16" s="9" customFormat="1" x14ac:dyDescent="0.3">
      <c r="A12" s="30" t="s">
        <v>308</v>
      </c>
      <c r="B12" s="18" t="s">
        <v>80</v>
      </c>
      <c r="C12" s="16" t="s">
        <v>81</v>
      </c>
      <c r="D12" s="17">
        <v>2.35</v>
      </c>
      <c r="E12" s="17">
        <v>2.5</v>
      </c>
      <c r="F12" s="17">
        <v>2.65</v>
      </c>
      <c r="G12" s="39" t="s">
        <v>8</v>
      </c>
      <c r="H12" s="47" t="s">
        <v>3</v>
      </c>
      <c r="I12" s="68" t="s">
        <v>82</v>
      </c>
      <c r="J12" s="3">
        <f>IF(I12&lt;&gt;"",VLOOKUP(I12,'Test Item'!C:H,2,0),"")</f>
        <v>2.36</v>
      </c>
      <c r="K12" s="3">
        <f>IF(I12&lt;&gt;"",VLOOKUP(I12,'Test Item'!C:H,3,0),"")</f>
        <v>2.64</v>
      </c>
      <c r="L12" s="3" t="str">
        <f>IF(I12&lt;&gt;"",VLOOKUP(I12,'Test Item'!C:H,4,0),"")</f>
        <v>V</v>
      </c>
      <c r="M12" s="46"/>
      <c r="N12" s="51"/>
      <c r="O12"/>
    </row>
    <row r="13" spans="1:16" s="9" customFormat="1" x14ac:dyDescent="0.3">
      <c r="A13" s="30" t="s">
        <v>309</v>
      </c>
      <c r="B13" s="18" t="s">
        <v>83</v>
      </c>
      <c r="C13" s="16" t="s">
        <v>84</v>
      </c>
      <c r="D13" s="17"/>
      <c r="E13" s="17">
        <v>200</v>
      </c>
      <c r="F13" s="17"/>
      <c r="G13" s="39" t="s">
        <v>33</v>
      </c>
      <c r="H13" s="47" t="s">
        <v>3</v>
      </c>
      <c r="I13" s="68" t="s">
        <v>85</v>
      </c>
      <c r="J13" s="3">
        <f>IF(I13&lt;&gt;"",VLOOKUP(I13,'Test Item'!C:H,2,0),"")</f>
        <v>0.1</v>
      </c>
      <c r="K13" s="3">
        <f>IF(I13&lt;&gt;"",VLOOKUP(I13,'Test Item'!C:H,3,0),"")</f>
        <v>0.45</v>
      </c>
      <c r="L13" s="3" t="str">
        <f>IF(I13&lt;&gt;"",VLOOKUP(I13,'Test Item'!C:H,4,0),"")</f>
        <v>V</v>
      </c>
      <c r="M13" s="46"/>
      <c r="N13" s="51"/>
      <c r="O13"/>
    </row>
    <row r="14" spans="1:16" s="9" customFormat="1" x14ac:dyDescent="0.3">
      <c r="A14" s="94" t="s">
        <v>86</v>
      </c>
      <c r="B14" s="95"/>
      <c r="C14" s="95"/>
      <c r="D14" s="95"/>
      <c r="E14" s="95"/>
      <c r="F14" s="95"/>
      <c r="G14" s="96"/>
      <c r="H14" s="47"/>
      <c r="I14" s="68"/>
      <c r="J14" s="3" t="str">
        <f>IF(I14&lt;&gt;"",VLOOKUP(I14,'Test Item'!C:H,2,0),"")</f>
        <v/>
      </c>
      <c r="K14" s="3" t="str">
        <f>IF(I14&lt;&gt;"",VLOOKUP(I14,'Test Item'!C:H,3,0),"")</f>
        <v/>
      </c>
      <c r="L14" s="3" t="str">
        <f>IF(I14&lt;&gt;"",VLOOKUP(I14,'Test Item'!C:H,4,0),"")</f>
        <v/>
      </c>
      <c r="M14" s="46"/>
      <c r="N14" s="51"/>
      <c r="O14"/>
    </row>
    <row r="15" spans="1:16" s="9" customFormat="1" x14ac:dyDescent="0.3">
      <c r="A15" s="31" t="s">
        <v>310</v>
      </c>
      <c r="B15" s="19" t="s">
        <v>87</v>
      </c>
      <c r="C15" s="16" t="s">
        <v>311</v>
      </c>
      <c r="D15" s="20">
        <v>-0.03</v>
      </c>
      <c r="E15" s="17">
        <v>3.1</v>
      </c>
      <c r="F15" s="20">
        <v>0.03</v>
      </c>
      <c r="G15" s="39" t="s">
        <v>8</v>
      </c>
      <c r="H15" s="47" t="s">
        <v>3</v>
      </c>
      <c r="I15" s="68" t="s">
        <v>88</v>
      </c>
      <c r="J15" s="3">
        <f>IF(I15&lt;&gt;"",VLOOKUP(I15,'Test Item'!C:H,2,0),"")</f>
        <v>3.05</v>
      </c>
      <c r="K15" s="3">
        <f>IF(I15&lt;&gt;"",VLOOKUP(I15,'Test Item'!C:H,3,0),"")</f>
        <v>3.19</v>
      </c>
      <c r="L15" s="3" t="str">
        <f>IF(I15&lt;&gt;"",VLOOKUP(I15,'Test Item'!C:H,4,0),"")</f>
        <v>V</v>
      </c>
      <c r="M15" s="46" t="s">
        <v>451</v>
      </c>
      <c r="N15" s="51"/>
      <c r="O15"/>
    </row>
    <row r="16" spans="1:16" s="9" customFormat="1" x14ac:dyDescent="0.3">
      <c r="A16" s="31" t="s">
        <v>312</v>
      </c>
      <c r="B16" s="19" t="s">
        <v>89</v>
      </c>
      <c r="C16" s="16" t="s">
        <v>90</v>
      </c>
      <c r="D16" s="17">
        <v>60</v>
      </c>
      <c r="E16" s="17"/>
      <c r="F16" s="17"/>
      <c r="G16" s="39" t="s">
        <v>17</v>
      </c>
      <c r="H16" s="47" t="s">
        <v>3</v>
      </c>
      <c r="I16" s="68" t="s">
        <v>91</v>
      </c>
      <c r="J16" s="3">
        <f>IF(I16&lt;&gt;"",VLOOKUP(I16,'Test Item'!C:H,2,0),"")</f>
        <v>3.05</v>
      </c>
      <c r="K16" s="3">
        <f>IF(I16&lt;&gt;"",VLOOKUP(I16,'Test Item'!C:H,3,0),"")</f>
        <v>3.19</v>
      </c>
      <c r="L16" s="3" t="str">
        <f>IF(I16&lt;&gt;"",VLOOKUP(I16,'Test Item'!C:H,4,0),"")</f>
        <v>V</v>
      </c>
      <c r="M16" s="46"/>
      <c r="N16" s="51"/>
      <c r="O16"/>
    </row>
    <row r="17" spans="1:16" s="9" customFormat="1" x14ac:dyDescent="0.3">
      <c r="A17" s="31" t="s">
        <v>313</v>
      </c>
      <c r="B17" s="19" t="s">
        <v>92</v>
      </c>
      <c r="C17" s="16" t="s">
        <v>314</v>
      </c>
      <c r="D17" s="17">
        <v>80</v>
      </c>
      <c r="E17" s="17"/>
      <c r="F17" s="17"/>
      <c r="G17" s="39" t="s">
        <v>17</v>
      </c>
      <c r="H17" s="47" t="s">
        <v>3</v>
      </c>
      <c r="I17" s="68" t="s">
        <v>93</v>
      </c>
      <c r="J17" s="3">
        <f>IF(I17&lt;&gt;"",VLOOKUP(I17,'Test Item'!C:H,2,0),"")</f>
        <v>70</v>
      </c>
      <c r="K17" s="3">
        <f>IF(I17&lt;&gt;"",VLOOKUP(I17,'Test Item'!C:H,3,0),"")</f>
        <v>150</v>
      </c>
      <c r="L17" s="3" t="str">
        <f>IF(I17&lt;&gt;"",VLOOKUP(I17,'Test Item'!C:H,4,0),"")</f>
        <v>mA</v>
      </c>
      <c r="M17" s="46"/>
      <c r="N17" s="51"/>
      <c r="O17"/>
    </row>
    <row r="18" spans="1:16" s="9" customFormat="1" x14ac:dyDescent="0.3">
      <c r="A18" s="31" t="s">
        <v>315</v>
      </c>
      <c r="B18" s="19" t="s">
        <v>316</v>
      </c>
      <c r="C18" s="16" t="s">
        <v>94</v>
      </c>
      <c r="D18" s="17">
        <v>2.35</v>
      </c>
      <c r="E18" s="17">
        <v>2.5</v>
      </c>
      <c r="F18" s="17">
        <v>2.65</v>
      </c>
      <c r="G18" s="39" t="s">
        <v>8</v>
      </c>
      <c r="H18" s="47" t="s">
        <v>1601</v>
      </c>
      <c r="I18" s="68"/>
      <c r="J18" s="3" t="str">
        <f>IF(I18&lt;&gt;"",VLOOKUP(I18,'Test Item'!C:H,2,0),"")</f>
        <v/>
      </c>
      <c r="K18" s="3" t="str">
        <f>IF(I18&lt;&gt;"",VLOOKUP(I18,'Test Item'!C:H,3,0),"")</f>
        <v/>
      </c>
      <c r="L18" s="3" t="str">
        <f>IF(I18&lt;&gt;"",VLOOKUP(I18,'Test Item'!C:H,4,0),"")</f>
        <v/>
      </c>
      <c r="M18" s="46"/>
      <c r="N18" s="51"/>
      <c r="O18"/>
    </row>
    <row r="19" spans="1:16" s="9" customFormat="1" x14ac:dyDescent="0.3">
      <c r="A19" s="31" t="s">
        <v>317</v>
      </c>
      <c r="B19" s="19" t="s">
        <v>95</v>
      </c>
      <c r="C19" s="16" t="s">
        <v>84</v>
      </c>
      <c r="D19" s="17"/>
      <c r="E19" s="17">
        <v>200</v>
      </c>
      <c r="F19" s="17"/>
      <c r="G19" s="39" t="s">
        <v>33</v>
      </c>
      <c r="H19" s="47" t="s">
        <v>1601</v>
      </c>
      <c r="I19" s="68"/>
      <c r="J19" s="3" t="str">
        <f>IF(I19&lt;&gt;"",VLOOKUP(I19,'Test Item'!C:H,2,0),"")</f>
        <v/>
      </c>
      <c r="K19" s="3" t="str">
        <f>IF(I19&lt;&gt;"",VLOOKUP(I19,'Test Item'!C:H,3,0),"")</f>
        <v/>
      </c>
      <c r="L19" s="3" t="str">
        <f>IF(I19&lt;&gt;"",VLOOKUP(I19,'Test Item'!C:H,4,0),"")</f>
        <v/>
      </c>
      <c r="M19" s="46"/>
      <c r="N19" s="51"/>
      <c r="O19"/>
    </row>
    <row r="20" spans="1:16" s="9" customFormat="1" ht="15" customHeight="1" x14ac:dyDescent="0.3">
      <c r="A20" s="97" t="s">
        <v>96</v>
      </c>
      <c r="B20" s="98"/>
      <c r="C20" s="98"/>
      <c r="D20" s="98"/>
      <c r="E20" s="98"/>
      <c r="F20" s="98"/>
      <c r="G20" s="99"/>
      <c r="H20" s="47"/>
      <c r="I20" s="68"/>
      <c r="J20" s="3" t="str">
        <f>IF(I20&lt;&gt;"",VLOOKUP(I20,'Test Item'!C:H,2,0),"")</f>
        <v/>
      </c>
      <c r="K20" s="3" t="str">
        <f>IF(I20&lt;&gt;"",VLOOKUP(I20,'Test Item'!C:H,3,0),"")</f>
        <v/>
      </c>
      <c r="L20" s="3" t="str">
        <f>IF(I20&lt;&gt;"",VLOOKUP(I20,'Test Item'!C:H,4,0),"")</f>
        <v/>
      </c>
      <c r="M20" s="46"/>
      <c r="N20" s="51"/>
      <c r="O20"/>
    </row>
    <row r="21" spans="1:16" s="9" customFormat="1" ht="20" x14ac:dyDescent="0.3">
      <c r="A21" s="31" t="s">
        <v>318</v>
      </c>
      <c r="B21" s="19" t="s">
        <v>97</v>
      </c>
      <c r="C21" s="16" t="s">
        <v>319</v>
      </c>
      <c r="D21" s="17"/>
      <c r="E21" s="17">
        <v>1.9</v>
      </c>
      <c r="F21" s="17">
        <v>3</v>
      </c>
      <c r="G21" s="39" t="s">
        <v>98</v>
      </c>
      <c r="H21" s="47" t="s">
        <v>3</v>
      </c>
      <c r="I21" s="68" t="s">
        <v>99</v>
      </c>
      <c r="J21" s="3">
        <f>IF(I21&lt;&gt;"",VLOOKUP(I21,'Test Item'!C:H,2,0),"")</f>
        <v>1.4</v>
      </c>
      <c r="K21" s="3">
        <f>IF(I21&lt;&gt;"",VLOOKUP(I21,'Test Item'!C:H,3,0),"")</f>
        <v>2.9</v>
      </c>
      <c r="L21" s="3" t="str">
        <f>IF(I21&lt;&gt;"",VLOOKUP(I21,'Test Item'!C:H,4,0),"")</f>
        <v>Ohm</v>
      </c>
      <c r="M21" s="46"/>
      <c r="N21" s="51"/>
      <c r="O21"/>
    </row>
    <row r="22" spans="1:16" s="9" customFormat="1" x14ac:dyDescent="0.3">
      <c r="A22" s="31" t="s">
        <v>320</v>
      </c>
      <c r="B22" s="19" t="s">
        <v>100</v>
      </c>
      <c r="C22" s="16" t="s">
        <v>101</v>
      </c>
      <c r="D22" s="17"/>
      <c r="E22" s="17">
        <v>10</v>
      </c>
      <c r="F22" s="17"/>
      <c r="G22" s="39" t="s">
        <v>33</v>
      </c>
      <c r="H22" s="47" t="s">
        <v>3</v>
      </c>
      <c r="I22" s="68" t="s">
        <v>102</v>
      </c>
      <c r="J22" s="3">
        <f>IF(I22&lt;&gt;"",VLOOKUP(I22,'Test Item'!C:H,2,0),"")</f>
        <v>5</v>
      </c>
      <c r="K22" s="3">
        <f>IF(I22&lt;&gt;"",VLOOKUP(I22,'Test Item'!C:H,3,0),"")</f>
        <v>20</v>
      </c>
      <c r="L22" s="3" t="str">
        <f>IF(I22&lt;&gt;"",VLOOKUP(I22,'Test Item'!C:H,4,0),"")</f>
        <v>mV</v>
      </c>
      <c r="M22" s="46"/>
      <c r="N22" s="51"/>
      <c r="O22"/>
    </row>
    <row r="23" spans="1:16" s="9" customFormat="1" x14ac:dyDescent="0.3">
      <c r="A23" s="94" t="s">
        <v>103</v>
      </c>
      <c r="B23" s="95"/>
      <c r="C23" s="95"/>
      <c r="D23" s="95"/>
      <c r="E23" s="95"/>
      <c r="F23" s="95"/>
      <c r="G23" s="96"/>
      <c r="H23" s="47" t="s">
        <v>3</v>
      </c>
      <c r="I23" s="68"/>
      <c r="J23" s="3" t="str">
        <f>IF(I23&lt;&gt;"",VLOOKUP(I23,'Test Item'!C:H,2,0),"")</f>
        <v/>
      </c>
      <c r="K23" s="3" t="str">
        <f>IF(I23&lt;&gt;"",VLOOKUP(I23,'Test Item'!C:H,3,0),"")</f>
        <v/>
      </c>
      <c r="L23" s="3" t="str">
        <f>IF(I23&lt;&gt;"",VLOOKUP(I23,'Test Item'!C:H,4,0),"")</f>
        <v/>
      </c>
      <c r="M23" s="46"/>
      <c r="N23" s="51" t="str">
        <f t="shared" ref="N23:N68" si="0">IF(D23&lt;&gt;"",J23-D23,"")</f>
        <v/>
      </c>
      <c r="O23" t="str">
        <f t="shared" ref="O23:O68" si="1">IF(F23&lt;&gt;"",F23-K23,"")</f>
        <v/>
      </c>
    </row>
    <row r="24" spans="1:16" s="9" customFormat="1" ht="20" x14ac:dyDescent="0.3">
      <c r="A24" s="107" t="s">
        <v>321</v>
      </c>
      <c r="B24" s="108" t="s">
        <v>104</v>
      </c>
      <c r="C24" s="16" t="s">
        <v>322</v>
      </c>
      <c r="D24" s="109"/>
      <c r="E24" s="109">
        <v>135</v>
      </c>
      <c r="F24" s="109"/>
      <c r="G24" s="110" t="s">
        <v>105</v>
      </c>
      <c r="H24" s="47" t="s">
        <v>3</v>
      </c>
      <c r="I24" s="68" t="s">
        <v>106</v>
      </c>
      <c r="J24" s="3">
        <f>IF(I24&lt;&gt;"",VLOOKUP(I24,'Test Item'!C:H,2,0),"")</f>
        <v>500</v>
      </c>
      <c r="K24" s="3">
        <f>IF(I24&lt;&gt;"",VLOOKUP(I24,'Test Item'!C:H,3,0),"")</f>
        <v>540</v>
      </c>
      <c r="L24" s="3" t="str">
        <f>IF(I24&lt;&gt;"",VLOOKUP(I24,'Test Item'!C:H,4,0),"")</f>
        <v>mV</v>
      </c>
      <c r="M24" s="46" t="s">
        <v>1602</v>
      </c>
      <c r="N24" s="51" t="str">
        <f t="shared" si="0"/>
        <v/>
      </c>
      <c r="O24" t="str">
        <f t="shared" si="1"/>
        <v/>
      </c>
    </row>
    <row r="25" spans="1:16" s="9" customFormat="1" x14ac:dyDescent="0.3">
      <c r="A25" s="107"/>
      <c r="B25" s="108"/>
      <c r="C25" s="16" t="s">
        <v>107</v>
      </c>
      <c r="D25" s="109"/>
      <c r="E25" s="109"/>
      <c r="F25" s="109"/>
      <c r="G25" s="110"/>
      <c r="H25" s="47"/>
      <c r="I25" s="68"/>
      <c r="J25" s="3" t="str">
        <f>IF(I25&lt;&gt;"",VLOOKUP(I25,'Test Item'!C:H,2,0),"")</f>
        <v/>
      </c>
      <c r="K25" s="3" t="str">
        <f>IF(I25&lt;&gt;"",VLOOKUP(I25,'Test Item'!C:H,3,0),"")</f>
        <v/>
      </c>
      <c r="L25" s="3" t="str">
        <f>IF(I25&lt;&gt;"",VLOOKUP(I25,'Test Item'!C:H,4,0),"")</f>
        <v/>
      </c>
      <c r="M25" s="46"/>
      <c r="N25" s="51"/>
      <c r="O25"/>
      <c r="P25" s="51"/>
    </row>
    <row r="26" spans="1:16" s="9" customFormat="1" x14ac:dyDescent="0.3">
      <c r="A26" s="94" t="s">
        <v>108</v>
      </c>
      <c r="B26" s="95"/>
      <c r="C26" s="95"/>
      <c r="D26" s="95"/>
      <c r="E26" s="95"/>
      <c r="F26" s="95"/>
      <c r="G26" s="96"/>
      <c r="H26" s="47" t="s">
        <v>3</v>
      </c>
      <c r="I26" s="68"/>
      <c r="J26" s="3" t="str">
        <f>IF(I26&lt;&gt;"",VLOOKUP(I26,'Test Item'!C:H,2,0),"")</f>
        <v/>
      </c>
      <c r="K26" s="3" t="str">
        <f>IF(I26&lt;&gt;"",VLOOKUP(I26,'Test Item'!C:H,3,0),"")</f>
        <v/>
      </c>
      <c r="L26" s="3" t="str">
        <f>IF(I26&lt;&gt;"",VLOOKUP(I26,'Test Item'!C:H,4,0),"")</f>
        <v/>
      </c>
      <c r="M26" s="46"/>
      <c r="N26" s="51"/>
      <c r="O26"/>
      <c r="P26" s="51"/>
    </row>
    <row r="27" spans="1:16" s="9" customFormat="1" x14ac:dyDescent="0.3">
      <c r="A27" s="32" t="s">
        <v>323</v>
      </c>
      <c r="B27" s="21" t="s">
        <v>109</v>
      </c>
      <c r="C27" s="21" t="s">
        <v>324</v>
      </c>
      <c r="D27" s="17"/>
      <c r="E27" s="17"/>
      <c r="F27" s="17">
        <v>0.4</v>
      </c>
      <c r="G27" s="39" t="s">
        <v>8</v>
      </c>
      <c r="H27" s="47" t="s">
        <v>3</v>
      </c>
      <c r="I27" s="68" t="s">
        <v>110</v>
      </c>
      <c r="J27" s="3">
        <f>IF(I27&lt;&gt;"",VLOOKUP(I27,'Test Item'!C:H,2,0),"")</f>
        <v>-0.1</v>
      </c>
      <c r="K27" s="3">
        <f>IF(I27&lt;&gt;"",VLOOKUP(I27,'Test Item'!C:H,3,0),"")</f>
        <v>0.1</v>
      </c>
      <c r="L27" s="3" t="str">
        <f>IF(I27&lt;&gt;"",VLOOKUP(I27,'Test Item'!C:H,4,0),"")</f>
        <v>V</v>
      </c>
      <c r="M27" s="46"/>
      <c r="N27" s="51"/>
      <c r="O27"/>
      <c r="P27" s="51"/>
    </row>
    <row r="28" spans="1:16" s="9" customFormat="1" x14ac:dyDescent="0.3">
      <c r="A28" s="32" t="s">
        <v>325</v>
      </c>
      <c r="B28" s="21" t="s">
        <v>111</v>
      </c>
      <c r="C28" s="21" t="s">
        <v>112</v>
      </c>
      <c r="D28" s="17"/>
      <c r="E28" s="17">
        <v>10</v>
      </c>
      <c r="F28" s="17">
        <v>20</v>
      </c>
      <c r="G28" s="39" t="s">
        <v>113</v>
      </c>
      <c r="H28" s="47" t="s">
        <v>3</v>
      </c>
      <c r="I28" s="68" t="s">
        <v>114</v>
      </c>
      <c r="J28" s="3">
        <f>IF(I28&lt;&gt;"",VLOOKUP(I28,'Test Item'!C:H,2,0),"")</f>
        <v>8</v>
      </c>
      <c r="K28" s="3">
        <f>IF(I28&lt;&gt;"",VLOOKUP(I28,'Test Item'!C:H,3,0),"")</f>
        <v>12</v>
      </c>
      <c r="L28" s="3" t="str">
        <f>IF(I28&lt;&gt;"",VLOOKUP(I28,'Test Item'!C:H,4,0),"")</f>
        <v>kOhm</v>
      </c>
      <c r="M28" s="46"/>
      <c r="N28" s="51"/>
      <c r="O28"/>
      <c r="P28" s="51"/>
    </row>
    <row r="29" spans="1:16" s="9" customFormat="1" ht="15" customHeight="1" x14ac:dyDescent="0.3">
      <c r="A29" s="94" t="s">
        <v>115</v>
      </c>
      <c r="B29" s="95"/>
      <c r="C29" s="95"/>
      <c r="D29" s="95"/>
      <c r="E29" s="95"/>
      <c r="F29" s="95"/>
      <c r="G29" s="96"/>
      <c r="H29" s="47" t="s">
        <v>3</v>
      </c>
      <c r="I29" s="68"/>
      <c r="J29" s="3" t="str">
        <f>IF(I29&lt;&gt;"",VLOOKUP(I29,'Test Item'!C:H,2,0),"")</f>
        <v/>
      </c>
      <c r="K29" s="3" t="str">
        <f>IF(I29&lt;&gt;"",VLOOKUP(I29,'Test Item'!C:H,3,0),"")</f>
        <v/>
      </c>
      <c r="L29" s="3" t="str">
        <f>IF(I29&lt;&gt;"",VLOOKUP(I29,'Test Item'!C:H,4,0),"")</f>
        <v/>
      </c>
      <c r="M29" s="46"/>
      <c r="N29" s="51"/>
      <c r="O29"/>
      <c r="P29" s="51"/>
    </row>
    <row r="30" spans="1:16" s="9" customFormat="1" x14ac:dyDescent="0.3">
      <c r="A30" s="32" t="s">
        <v>326</v>
      </c>
      <c r="B30" s="21" t="s">
        <v>116</v>
      </c>
      <c r="C30" s="21"/>
      <c r="D30" s="17">
        <v>1.2</v>
      </c>
      <c r="E30" s="17"/>
      <c r="F30" s="17"/>
      <c r="G30" s="39" t="s">
        <v>8</v>
      </c>
      <c r="H30" s="47" t="s">
        <v>3</v>
      </c>
      <c r="I30" s="68" t="s">
        <v>117</v>
      </c>
      <c r="J30" s="3">
        <f>IF(I30&lt;&gt;"",VLOOKUP(I30,'Test Item'!C:H,2,0),"")</f>
        <v>0.8</v>
      </c>
      <c r="K30" s="3">
        <f>IF(I30&lt;&gt;"",VLOOKUP(I30,'Test Item'!C:H,3,0),"")</f>
        <v>1</v>
      </c>
      <c r="L30" s="3" t="str">
        <f>IF(I30&lt;&gt;"",VLOOKUP(I30,'Test Item'!C:H,4,0),"")</f>
        <v>V</v>
      </c>
      <c r="M30" s="46"/>
      <c r="N30" s="51"/>
      <c r="O30"/>
      <c r="P30" s="51"/>
    </row>
    <row r="31" spans="1:16" s="9" customFormat="1" x14ac:dyDescent="0.3">
      <c r="A31" s="32" t="s">
        <v>327</v>
      </c>
      <c r="B31" s="21" t="s">
        <v>118</v>
      </c>
      <c r="C31" s="21"/>
      <c r="D31" s="17"/>
      <c r="E31" s="17"/>
      <c r="F31" s="17">
        <v>0.4</v>
      </c>
      <c r="G31" s="39" t="s">
        <v>8</v>
      </c>
      <c r="H31" s="47" t="s">
        <v>3</v>
      </c>
      <c r="I31" s="68" t="s">
        <v>119</v>
      </c>
      <c r="J31" s="3">
        <f>IF(I31&lt;&gt;"",VLOOKUP(I31,'Test Item'!C:H,2,0),"")</f>
        <v>0.5</v>
      </c>
      <c r="K31" s="3">
        <f>IF(I31&lt;&gt;"",VLOOKUP(I31,'Test Item'!C:H,3,0),"")</f>
        <v>0.8</v>
      </c>
      <c r="L31" s="3" t="str">
        <f>IF(I31&lt;&gt;"",VLOOKUP(I31,'Test Item'!C:H,4,0),"")</f>
        <v>V</v>
      </c>
      <c r="M31" s="46"/>
      <c r="N31" s="51"/>
      <c r="O31"/>
      <c r="P31" s="51"/>
    </row>
    <row r="32" spans="1:16" s="9" customFormat="1" x14ac:dyDescent="0.3">
      <c r="A32" s="32" t="s">
        <v>328</v>
      </c>
      <c r="B32" s="21" t="s">
        <v>120</v>
      </c>
      <c r="C32" s="21" t="s">
        <v>121</v>
      </c>
      <c r="D32" s="17"/>
      <c r="E32" s="17">
        <v>3.3</v>
      </c>
      <c r="F32" s="17">
        <v>5</v>
      </c>
      <c r="G32" s="39" t="s">
        <v>68</v>
      </c>
      <c r="H32" s="47" t="s">
        <v>3</v>
      </c>
      <c r="I32" s="69" t="s">
        <v>122</v>
      </c>
      <c r="J32" s="3">
        <f>IF(I32&lt;&gt;"",VLOOKUP(I32,'Test Item'!C:H,2,0),"")</f>
        <v>2</v>
      </c>
      <c r="K32" s="3">
        <f>IF(I32&lt;&gt;"",VLOOKUP(I32,'Test Item'!C:H,3,0),"")</f>
        <v>4.8</v>
      </c>
      <c r="L32" s="3" t="str">
        <f>IF(I32&lt;&gt;"",VLOOKUP(I32,'Test Item'!C:H,4,0),"")</f>
        <v>uA</v>
      </c>
      <c r="M32" s="46"/>
      <c r="N32" s="51"/>
      <c r="O32"/>
      <c r="P32" s="51"/>
    </row>
    <row r="33" spans="1:16" s="9" customFormat="1" x14ac:dyDescent="0.3">
      <c r="A33" s="32" t="s">
        <v>329</v>
      </c>
      <c r="B33" s="21" t="s">
        <v>123</v>
      </c>
      <c r="C33" s="21" t="s">
        <v>124</v>
      </c>
      <c r="D33" s="17"/>
      <c r="E33" s="17">
        <v>1</v>
      </c>
      <c r="F33" s="17"/>
      <c r="G33" s="39" t="s">
        <v>125</v>
      </c>
      <c r="H33" s="47" t="s">
        <v>3</v>
      </c>
      <c r="I33" s="69" t="s">
        <v>126</v>
      </c>
      <c r="J33" s="3">
        <f>IF(I33&lt;&gt;"",VLOOKUP(I33,'Test Item'!C:H,2,0),"")</f>
        <v>0.7</v>
      </c>
      <c r="K33" s="3">
        <f>IF(I33&lt;&gt;"",VLOOKUP(I33,'Test Item'!C:H,3,0),"")</f>
        <v>1.3</v>
      </c>
      <c r="L33" s="3" t="str">
        <f>IF(I33&lt;&gt;"",VLOOKUP(I33,'Test Item'!C:H,4,0),"")</f>
        <v>M</v>
      </c>
      <c r="M33" s="46"/>
      <c r="N33" s="51"/>
      <c r="O33"/>
      <c r="P33" s="51"/>
    </row>
    <row r="34" spans="1:16" s="9" customFormat="1" ht="15.75" customHeight="1" x14ac:dyDescent="0.3">
      <c r="A34" s="94" t="s">
        <v>127</v>
      </c>
      <c r="B34" s="95"/>
      <c r="C34" s="95"/>
      <c r="D34" s="95"/>
      <c r="E34" s="95"/>
      <c r="F34" s="95"/>
      <c r="G34" s="96"/>
      <c r="H34" s="47"/>
      <c r="I34" s="68"/>
      <c r="J34" s="3" t="str">
        <f>IF(I34&lt;&gt;"",VLOOKUP(I34,'Test Item'!C:H,2,0),"")</f>
        <v/>
      </c>
      <c r="K34" s="3" t="str">
        <f>IF(I34&lt;&gt;"",VLOOKUP(I34,'Test Item'!C:H,3,0),"")</f>
        <v/>
      </c>
      <c r="L34" s="3" t="str">
        <f>IF(I34&lt;&gt;"",VLOOKUP(I34,'Test Item'!C:H,4,0),"")</f>
        <v/>
      </c>
      <c r="M34" s="46"/>
      <c r="N34" s="51"/>
      <c r="O34"/>
      <c r="P34" s="51"/>
    </row>
    <row r="35" spans="1:16" s="9" customFormat="1" ht="20" x14ac:dyDescent="0.3">
      <c r="A35" s="33" t="s">
        <v>330</v>
      </c>
      <c r="B35" s="18" t="s">
        <v>128</v>
      </c>
      <c r="C35" s="16" t="s">
        <v>129</v>
      </c>
      <c r="D35" s="17">
        <v>6</v>
      </c>
      <c r="E35" s="17">
        <v>8</v>
      </c>
      <c r="F35" s="17"/>
      <c r="G35" s="39" t="s">
        <v>8</v>
      </c>
      <c r="H35" s="47" t="s">
        <v>3</v>
      </c>
      <c r="I35" s="68" t="s">
        <v>130</v>
      </c>
      <c r="J35" s="3">
        <f>IF(I35&lt;&gt;"",VLOOKUP(I35,'Test Item'!C:H,2,0),"")</f>
        <v>35</v>
      </c>
      <c r="K35" s="3">
        <f>IF(I35&lt;&gt;"",VLOOKUP(I35,'Test Item'!C:H,3,0),"")</f>
        <v>39.799999999999997</v>
      </c>
      <c r="L35" s="3" t="str">
        <f>IF(I35&lt;&gt;"",VLOOKUP(I35,'Test Item'!C:H,4,0),"")</f>
        <v>V</v>
      </c>
      <c r="M35" s="46" t="s">
        <v>1603</v>
      </c>
      <c r="N35" s="51"/>
      <c r="O35"/>
      <c r="P35" s="51"/>
    </row>
    <row r="36" spans="1:16" s="9" customFormat="1" x14ac:dyDescent="0.3">
      <c r="A36" s="32" t="s">
        <v>331</v>
      </c>
      <c r="B36" s="21" t="s">
        <v>131</v>
      </c>
      <c r="C36" s="16" t="s">
        <v>332</v>
      </c>
      <c r="D36" s="17"/>
      <c r="E36" s="22">
        <v>10</v>
      </c>
      <c r="F36" s="17">
        <v>20</v>
      </c>
      <c r="G36" s="40" t="s">
        <v>68</v>
      </c>
      <c r="H36" s="47" t="s">
        <v>3</v>
      </c>
      <c r="I36" s="68" t="s">
        <v>132</v>
      </c>
      <c r="J36" s="3">
        <f>IF(I36&lt;&gt;"",VLOOKUP(I36,'Test Item'!C:H,2,0),"")</f>
        <v>8</v>
      </c>
      <c r="K36" s="3">
        <f>IF(I36&lt;&gt;"",VLOOKUP(I36,'Test Item'!C:H,3,0),"")</f>
        <v>18</v>
      </c>
      <c r="L36" s="3" t="str">
        <f>IF(I36&lt;&gt;"",VLOOKUP(I36,'Test Item'!C:H,4,0),"")</f>
        <v>uA</v>
      </c>
      <c r="M36" s="46"/>
      <c r="N36" s="51"/>
      <c r="O36"/>
      <c r="P36" s="51"/>
    </row>
    <row r="37" spans="1:16" s="9" customFormat="1" x14ac:dyDescent="0.3">
      <c r="A37" s="32" t="s">
        <v>331</v>
      </c>
      <c r="B37" s="21" t="s">
        <v>133</v>
      </c>
      <c r="C37" s="16" t="s">
        <v>134</v>
      </c>
      <c r="D37" s="17">
        <v>80</v>
      </c>
      <c r="E37" s="17">
        <v>100</v>
      </c>
      <c r="F37" s="17"/>
      <c r="G37" s="40" t="s">
        <v>68</v>
      </c>
      <c r="H37" s="47" t="s">
        <v>3</v>
      </c>
      <c r="I37" s="68" t="s">
        <v>135</v>
      </c>
      <c r="J37" s="3">
        <f>IF(I37&lt;&gt;"",VLOOKUP(I37,'Test Item'!C:H,2,0),"")</f>
        <v>-0.05</v>
      </c>
      <c r="K37" s="3">
        <f>IF(I37&lt;&gt;"",VLOOKUP(I37,'Test Item'!C:H,3,0),"")</f>
        <v>0.05</v>
      </c>
      <c r="L37" s="3" t="str">
        <f>IF(I37&lt;&gt;"",VLOOKUP(I37,'Test Item'!C:H,4,0),"")</f>
        <v>V</v>
      </c>
      <c r="M37" s="46" t="s">
        <v>1604</v>
      </c>
      <c r="N37" s="51"/>
      <c r="O37"/>
      <c r="P37" s="51"/>
    </row>
    <row r="38" spans="1:16" s="9" customFormat="1" ht="14.25" customHeight="1" x14ac:dyDescent="0.3">
      <c r="A38" s="111" t="s">
        <v>333</v>
      </c>
      <c r="B38" s="112" t="s">
        <v>136</v>
      </c>
      <c r="C38" s="113" t="s">
        <v>137</v>
      </c>
      <c r="D38" s="109"/>
      <c r="E38" s="22">
        <v>1.75</v>
      </c>
      <c r="F38" s="109"/>
      <c r="G38" s="114" t="s">
        <v>138</v>
      </c>
      <c r="H38" s="47" t="s">
        <v>1601</v>
      </c>
      <c r="I38" s="68"/>
      <c r="J38" s="3" t="str">
        <f>IF(I38&lt;&gt;"",VLOOKUP(I38,'Test Item'!C:H,2,0),"")</f>
        <v/>
      </c>
      <c r="K38" s="3" t="str">
        <f>IF(I38&lt;&gt;"",VLOOKUP(I38,'Test Item'!C:H,3,0),"")</f>
        <v/>
      </c>
      <c r="L38" s="3" t="str">
        <f>IF(I38&lt;&gt;"",VLOOKUP(I38,'Test Item'!C:H,4,0),"")</f>
        <v/>
      </c>
      <c r="M38" s="46"/>
      <c r="N38" s="51"/>
      <c r="O38"/>
      <c r="P38" s="51"/>
    </row>
    <row r="39" spans="1:16" s="9" customFormat="1" x14ac:dyDescent="0.3">
      <c r="A39" s="111"/>
      <c r="B39" s="112"/>
      <c r="C39" s="113"/>
      <c r="D39" s="109"/>
      <c r="E39" s="22" t="s">
        <v>139</v>
      </c>
      <c r="F39" s="109"/>
      <c r="G39" s="114"/>
      <c r="H39" s="47" t="s">
        <v>1601</v>
      </c>
      <c r="I39" s="68"/>
      <c r="J39" s="3" t="str">
        <f>IF(I39&lt;&gt;"",VLOOKUP(I39,'Test Item'!C:H,2,0),"")</f>
        <v/>
      </c>
      <c r="K39" s="3" t="str">
        <f>IF(I39&lt;&gt;"",VLOOKUP(I39,'Test Item'!C:H,3,0),"")</f>
        <v/>
      </c>
      <c r="L39" s="3" t="str">
        <f>IF(I39&lt;&gt;"",VLOOKUP(I39,'Test Item'!C:H,4,0),"")</f>
        <v/>
      </c>
      <c r="M39" s="46"/>
      <c r="N39" s="51" t="str">
        <f t="shared" si="0"/>
        <v/>
      </c>
      <c r="O39"/>
      <c r="P39" s="51"/>
    </row>
    <row r="40" spans="1:16" s="9" customFormat="1" x14ac:dyDescent="0.3">
      <c r="A40" s="111"/>
      <c r="B40" s="112"/>
      <c r="C40" s="113"/>
      <c r="D40" s="109"/>
      <c r="E40" s="22">
        <v>0.5</v>
      </c>
      <c r="F40" s="109"/>
      <c r="G40" s="114"/>
      <c r="H40" s="47" t="s">
        <v>1601</v>
      </c>
      <c r="I40" s="68"/>
      <c r="J40" s="3" t="str">
        <f>IF(I40&lt;&gt;"",VLOOKUP(I40,'Test Item'!C:H,2,0),"")</f>
        <v/>
      </c>
      <c r="K40" s="3" t="str">
        <f>IF(I40&lt;&gt;"",VLOOKUP(I40,'Test Item'!C:H,3,0),"")</f>
        <v/>
      </c>
      <c r="L40" s="3" t="str">
        <f>IF(I40&lt;&gt;"",VLOOKUP(I40,'Test Item'!C:H,4,0),"")</f>
        <v/>
      </c>
      <c r="M40" s="46"/>
      <c r="N40" s="51" t="str">
        <f t="shared" si="0"/>
        <v/>
      </c>
      <c r="O40"/>
      <c r="P40" s="51"/>
    </row>
    <row r="41" spans="1:16" s="9" customFormat="1" ht="20" x14ac:dyDescent="0.3">
      <c r="A41" s="115" t="s">
        <v>334</v>
      </c>
      <c r="B41" s="108" t="s">
        <v>335</v>
      </c>
      <c r="C41" s="16" t="s">
        <v>140</v>
      </c>
      <c r="D41" s="109"/>
      <c r="E41" s="109">
        <v>2</v>
      </c>
      <c r="F41" s="109">
        <v>4</v>
      </c>
      <c r="G41" s="110" t="s">
        <v>141</v>
      </c>
      <c r="H41" s="47" t="s">
        <v>1601</v>
      </c>
      <c r="I41" s="68"/>
      <c r="J41" s="3" t="str">
        <f>IF(I41&lt;&gt;"",VLOOKUP(I41,'Test Item'!C:H,2,0),"")</f>
        <v/>
      </c>
      <c r="K41" s="3" t="str">
        <f>IF(I41&lt;&gt;"",VLOOKUP(I41,'Test Item'!C:H,3,0),"")</f>
        <v/>
      </c>
      <c r="L41" s="3" t="str">
        <f>IF(I41&lt;&gt;"",VLOOKUP(I41,'Test Item'!C:H,4,0),"")</f>
        <v/>
      </c>
      <c r="M41" s="46"/>
      <c r="N41" s="51"/>
      <c r="O41"/>
      <c r="P41" s="51"/>
    </row>
    <row r="42" spans="1:16" s="9" customFormat="1" x14ac:dyDescent="0.3">
      <c r="A42" s="115"/>
      <c r="B42" s="108"/>
      <c r="C42" s="16" t="s">
        <v>142</v>
      </c>
      <c r="D42" s="109"/>
      <c r="E42" s="109"/>
      <c r="F42" s="109"/>
      <c r="G42" s="110"/>
      <c r="H42" s="47" t="s">
        <v>1601</v>
      </c>
      <c r="I42" s="68"/>
      <c r="J42" s="3" t="str">
        <f>IF(I42&lt;&gt;"",VLOOKUP(I42,'Test Item'!C:H,2,0),"")</f>
        <v/>
      </c>
      <c r="K42" s="3" t="str">
        <f>IF(I42&lt;&gt;"",VLOOKUP(I42,'Test Item'!C:H,3,0),"")</f>
        <v/>
      </c>
      <c r="L42" s="3" t="str">
        <f>IF(I42&lt;&gt;"",VLOOKUP(I42,'Test Item'!C:H,4,0),"")</f>
        <v/>
      </c>
      <c r="M42" s="46"/>
      <c r="N42" s="51"/>
      <c r="O42"/>
      <c r="P42" s="51"/>
    </row>
    <row r="43" spans="1:16" s="9" customFormat="1" ht="15.75" customHeight="1" x14ac:dyDescent="0.3">
      <c r="A43" s="94" t="s">
        <v>143</v>
      </c>
      <c r="B43" s="95"/>
      <c r="C43" s="95"/>
      <c r="D43" s="95"/>
      <c r="E43" s="95"/>
      <c r="F43" s="95"/>
      <c r="G43" s="96"/>
      <c r="H43" s="47"/>
      <c r="I43" s="68"/>
      <c r="J43" s="3" t="str">
        <f>IF(I43&lt;&gt;"",VLOOKUP(I43,'Test Item'!C:H,2,0),"")</f>
        <v/>
      </c>
      <c r="K43" s="3" t="str">
        <f>IF(I43&lt;&gt;"",VLOOKUP(I43,'Test Item'!C:H,3,0),"")</f>
        <v/>
      </c>
      <c r="L43" s="3" t="str">
        <f>IF(I43&lt;&gt;"",VLOOKUP(I43,'Test Item'!C:H,4,0),"")</f>
        <v/>
      </c>
      <c r="M43" s="46"/>
      <c r="N43" s="51"/>
      <c r="O43"/>
      <c r="P43" s="51"/>
    </row>
    <row r="44" spans="1:16" s="9" customFormat="1" ht="16" x14ac:dyDescent="0.3">
      <c r="A44" s="33" t="s">
        <v>336</v>
      </c>
      <c r="B44" s="18" t="s">
        <v>144</v>
      </c>
      <c r="C44" s="16" t="s">
        <v>337</v>
      </c>
      <c r="D44" s="23" t="s">
        <v>145</v>
      </c>
      <c r="E44" s="17"/>
      <c r="F44" s="17"/>
      <c r="G44" s="39" t="s">
        <v>8</v>
      </c>
      <c r="H44" s="47" t="s">
        <v>3</v>
      </c>
      <c r="I44" s="68" t="s">
        <v>146</v>
      </c>
      <c r="J44" s="3">
        <f>IF(I44&lt;&gt;"",VLOOKUP(I44,'Test Item'!C:H,2,0),"")</f>
        <v>3.21</v>
      </c>
      <c r="K44" s="3">
        <f>IF(I44&lt;&gt;"",VLOOKUP(I44,'Test Item'!C:H,3,0),"")</f>
        <v>3.3</v>
      </c>
      <c r="L44" s="3" t="str">
        <f>IF(I44&lt;&gt;"",VLOOKUP(I44,'Test Item'!C:H,4,0),"")</f>
        <v>V</v>
      </c>
      <c r="M44" s="46"/>
      <c r="N44" s="51"/>
      <c r="O44"/>
      <c r="P44" s="51"/>
    </row>
    <row r="45" spans="1:16" s="9" customFormat="1" x14ac:dyDescent="0.3">
      <c r="A45" s="33" t="s">
        <v>338</v>
      </c>
      <c r="B45" s="18" t="s">
        <v>147</v>
      </c>
      <c r="C45" s="16" t="s">
        <v>339</v>
      </c>
      <c r="D45" s="17"/>
      <c r="E45" s="17"/>
      <c r="F45" s="17">
        <v>0.1</v>
      </c>
      <c r="G45" s="39" t="s">
        <v>8</v>
      </c>
      <c r="H45" s="47" t="s">
        <v>3</v>
      </c>
      <c r="I45" s="68" t="s">
        <v>110</v>
      </c>
      <c r="J45" s="3">
        <f>IF(I45&lt;&gt;"",VLOOKUP(I45,'Test Item'!C:H,2,0),"")</f>
        <v>-0.1</v>
      </c>
      <c r="K45" s="3">
        <f>IF(I45&lt;&gt;"",VLOOKUP(I45,'Test Item'!C:H,3,0),"")</f>
        <v>0.1</v>
      </c>
      <c r="L45" s="3" t="str">
        <f>IF(I45&lt;&gt;"",VLOOKUP(I45,'Test Item'!C:H,4,0),"")</f>
        <v>V</v>
      </c>
      <c r="M45" s="46"/>
      <c r="N45" s="51"/>
      <c r="O45"/>
      <c r="P45" s="51"/>
    </row>
    <row r="46" spans="1:16" s="9" customFormat="1" ht="20" x14ac:dyDescent="0.3">
      <c r="A46" s="33" t="s">
        <v>340</v>
      </c>
      <c r="B46" s="18" t="s">
        <v>148</v>
      </c>
      <c r="C46" s="16" t="s">
        <v>149</v>
      </c>
      <c r="D46" s="17"/>
      <c r="E46" s="17">
        <v>0</v>
      </c>
      <c r="F46" s="17">
        <v>1</v>
      </c>
      <c r="G46" s="39" t="s">
        <v>68</v>
      </c>
      <c r="H46" s="47" t="s">
        <v>3</v>
      </c>
      <c r="I46" s="68" t="s">
        <v>150</v>
      </c>
      <c r="J46" s="3">
        <f>IF(I46&lt;&gt;"",VLOOKUP(I46,'Test Item'!C:H,2,0),"")</f>
        <v>-0.1</v>
      </c>
      <c r="K46" s="3">
        <f>IF(I46&lt;&gt;"",VLOOKUP(I46,'Test Item'!C:H,3,0),"")</f>
        <v>0.1</v>
      </c>
      <c r="L46" s="3" t="str">
        <f>IF(I46&lt;&gt;"",VLOOKUP(I46,'Test Item'!C:H,4,0),"")</f>
        <v>uA</v>
      </c>
      <c r="M46" s="46"/>
      <c r="N46" s="51"/>
      <c r="O46"/>
      <c r="P46" s="51"/>
    </row>
    <row r="47" spans="1:16" s="9" customFormat="1" x14ac:dyDescent="0.3">
      <c r="A47" s="33" t="s">
        <v>341</v>
      </c>
      <c r="B47" s="18" t="s">
        <v>151</v>
      </c>
      <c r="C47" s="16" t="s">
        <v>152</v>
      </c>
      <c r="D47" s="17"/>
      <c r="E47" s="17">
        <v>0</v>
      </c>
      <c r="F47" s="17">
        <v>1</v>
      </c>
      <c r="G47" s="39" t="s">
        <v>68</v>
      </c>
      <c r="H47" s="47" t="s">
        <v>3</v>
      </c>
      <c r="I47" s="68" t="s">
        <v>153</v>
      </c>
      <c r="J47" s="3">
        <f>IF(I47&lt;&gt;"",VLOOKUP(I47,'Test Item'!C:H,2,0),"")</f>
        <v>-0.1</v>
      </c>
      <c r="K47" s="3">
        <f>IF(I47&lt;&gt;"",VLOOKUP(I47,'Test Item'!C:H,3,0),"")</f>
        <v>0.1</v>
      </c>
      <c r="L47" s="3" t="str">
        <f>IF(I47&lt;&gt;"",VLOOKUP(I47,'Test Item'!C:H,4,0),"")</f>
        <v>uA</v>
      </c>
      <c r="M47" s="46"/>
      <c r="N47" s="51"/>
      <c r="O47"/>
      <c r="P47" s="51"/>
    </row>
    <row r="48" spans="1:16" s="9" customFormat="1" ht="15" customHeight="1" x14ac:dyDescent="0.3">
      <c r="A48" s="94" t="s">
        <v>154</v>
      </c>
      <c r="B48" s="95"/>
      <c r="C48" s="95"/>
      <c r="D48" s="95"/>
      <c r="E48" s="95"/>
      <c r="F48" s="95"/>
      <c r="G48" s="96"/>
      <c r="H48" s="47"/>
      <c r="I48" s="68"/>
      <c r="J48" s="3" t="str">
        <f>IF(I48&lt;&gt;"",VLOOKUP(I48,'Test Item'!C:H,2,0),"")</f>
        <v/>
      </c>
      <c r="K48" s="3" t="str">
        <f>IF(I48&lt;&gt;"",VLOOKUP(I48,'Test Item'!C:H,3,0),"")</f>
        <v/>
      </c>
      <c r="L48" s="3" t="str">
        <f>IF(I48&lt;&gt;"",VLOOKUP(I48,'Test Item'!C:H,4,0),"")</f>
        <v/>
      </c>
      <c r="M48" s="46"/>
      <c r="N48" s="51"/>
      <c r="O48"/>
      <c r="P48" s="51"/>
    </row>
    <row r="49" spans="1:16" s="9" customFormat="1" x14ac:dyDescent="0.3">
      <c r="A49" s="33" t="s">
        <v>342</v>
      </c>
      <c r="B49" s="16" t="s">
        <v>155</v>
      </c>
      <c r="C49" s="16" t="s">
        <v>156</v>
      </c>
      <c r="D49" s="17">
        <v>3.4</v>
      </c>
      <c r="E49" s="17">
        <v>3.6</v>
      </c>
      <c r="F49" s="17">
        <v>3.8</v>
      </c>
      <c r="G49" s="39" t="s">
        <v>8</v>
      </c>
      <c r="H49" s="47" t="s">
        <v>3</v>
      </c>
      <c r="I49" s="68" t="s">
        <v>157</v>
      </c>
      <c r="J49" s="3">
        <f>IF(I49&lt;&gt;"",VLOOKUP(I49,'Test Item'!C:H,2,0),"")</f>
        <v>3.45</v>
      </c>
      <c r="K49" s="3">
        <f>IF(I49&lt;&gt;"",VLOOKUP(I49,'Test Item'!C:H,3,0),"")</f>
        <v>3.75</v>
      </c>
      <c r="L49" s="3" t="str">
        <f>IF(I49&lt;&gt;"",VLOOKUP(I49,'Test Item'!C:H,4,0),"")</f>
        <v>V</v>
      </c>
      <c r="M49" s="46"/>
      <c r="N49" s="51"/>
      <c r="O49"/>
      <c r="P49" s="51"/>
    </row>
    <row r="50" spans="1:16" s="9" customFormat="1" x14ac:dyDescent="0.3">
      <c r="A50" s="33" t="s">
        <v>343</v>
      </c>
      <c r="B50" s="16" t="s">
        <v>158</v>
      </c>
      <c r="C50" s="16" t="s">
        <v>159</v>
      </c>
      <c r="D50" s="17"/>
      <c r="E50" s="17">
        <v>250</v>
      </c>
      <c r="F50" s="17"/>
      <c r="G50" s="39" t="s">
        <v>33</v>
      </c>
      <c r="H50" s="47" t="s">
        <v>3</v>
      </c>
      <c r="I50" s="68" t="s">
        <v>160</v>
      </c>
      <c r="J50" s="3">
        <f>IF(I50&lt;&gt;"",VLOOKUP(I50,'Test Item'!C:H,2,0),"")</f>
        <v>0.2</v>
      </c>
      <c r="K50" s="3">
        <f>IF(I50&lt;&gt;"",VLOOKUP(I50,'Test Item'!C:H,3,0),"")</f>
        <v>0.3</v>
      </c>
      <c r="L50" s="3" t="str">
        <f>IF(I50&lt;&gt;"",VLOOKUP(I50,'Test Item'!C:H,4,0),"")</f>
        <v>V</v>
      </c>
      <c r="M50" s="46"/>
      <c r="N50" s="55"/>
      <c r="O50" s="73">
        <v>-3.5000000000000003E-2</v>
      </c>
      <c r="P50" s="73">
        <v>3.5000000000000003E-2</v>
      </c>
    </row>
    <row r="51" spans="1:16" s="9" customFormat="1" ht="30" x14ac:dyDescent="0.3">
      <c r="A51" s="115" t="s">
        <v>344</v>
      </c>
      <c r="B51" s="113" t="s">
        <v>161</v>
      </c>
      <c r="C51" s="113" t="s">
        <v>345</v>
      </c>
      <c r="D51" s="116">
        <v>-3.5000000000000003E-2</v>
      </c>
      <c r="E51" s="17" t="s">
        <v>162</v>
      </c>
      <c r="F51" s="17" t="s">
        <v>163</v>
      </c>
      <c r="G51" s="110" t="s">
        <v>8</v>
      </c>
      <c r="H51" s="47" t="s">
        <v>3</v>
      </c>
      <c r="I51" s="70" t="s">
        <v>164</v>
      </c>
      <c r="J51" s="3">
        <f>IF(I51&lt;&gt;"",VLOOKUP(I51,'Test Item'!C:H,2,0),"")</f>
        <v>22.2</v>
      </c>
      <c r="K51" s="3">
        <f>IF(I51&lt;&gt;"",VLOOKUP(I51,'Test Item'!C:H,3,0),"")</f>
        <v>23.78</v>
      </c>
      <c r="L51" s="3" t="str">
        <f>IF(I51&lt;&gt;"",VLOOKUP(I51,'Test Item'!C:H,4,0),"")</f>
        <v>V</v>
      </c>
      <c r="M51" s="46" t="s">
        <v>1605</v>
      </c>
      <c r="N51" s="55">
        <v>23</v>
      </c>
      <c r="O51" s="55">
        <f>N51*(1+O50)</f>
        <v>22.195</v>
      </c>
      <c r="P51" s="55">
        <f>N51*(1+P50)</f>
        <v>23.805</v>
      </c>
    </row>
    <row r="52" spans="1:16" s="9" customFormat="1" x14ac:dyDescent="0.3">
      <c r="A52" s="115"/>
      <c r="B52" s="113"/>
      <c r="C52" s="113"/>
      <c r="D52" s="116"/>
      <c r="E52" s="17">
        <v>31.6</v>
      </c>
      <c r="F52" s="24">
        <v>3.5000000000000003E-2</v>
      </c>
      <c r="G52" s="110"/>
      <c r="H52" s="47" t="s">
        <v>3</v>
      </c>
      <c r="I52" s="68" t="s">
        <v>165</v>
      </c>
      <c r="J52" s="3">
        <f>IF(I52&lt;&gt;"",VLOOKUP(I52,'Test Item'!C:H,2,0),"")</f>
        <v>30.5</v>
      </c>
      <c r="K52" s="3">
        <f>IF(I52&lt;&gt;"",VLOOKUP(I52,'Test Item'!C:H,3,0),"")</f>
        <v>32.68</v>
      </c>
      <c r="L52" s="3" t="str">
        <f>IF(I52&lt;&gt;"",VLOOKUP(I52,'Test Item'!C:H,4,0),"")</f>
        <v>V</v>
      </c>
      <c r="M52" s="46"/>
      <c r="N52" s="55">
        <v>31.6</v>
      </c>
      <c r="O52" s="55">
        <f>N52*(1+O50)</f>
        <v>30.494</v>
      </c>
      <c r="P52" s="55">
        <f>N52*(1+P50)</f>
        <v>32.705999999999996</v>
      </c>
    </row>
    <row r="53" spans="1:16" s="9" customFormat="1" x14ac:dyDescent="0.3">
      <c r="A53" s="33" t="s">
        <v>346</v>
      </c>
      <c r="B53" s="16" t="s">
        <v>166</v>
      </c>
      <c r="C53" s="16"/>
      <c r="D53" s="17">
        <v>1</v>
      </c>
      <c r="E53" s="17">
        <v>2</v>
      </c>
      <c r="F53" s="17">
        <v>3</v>
      </c>
      <c r="G53" s="39" t="s">
        <v>32</v>
      </c>
      <c r="H53" s="47" t="s">
        <v>3</v>
      </c>
      <c r="I53" s="68"/>
      <c r="J53" s="3" t="str">
        <f>IF(I53&lt;&gt;"",VLOOKUP(I53,'Test Item'!C:H,2,0),"")</f>
        <v/>
      </c>
      <c r="K53" s="3" t="str">
        <f>IF(I53&lt;&gt;"",VLOOKUP(I53,'Test Item'!C:H,3,0),"")</f>
        <v/>
      </c>
      <c r="L53" s="3" t="str">
        <f>IF(I53&lt;&gt;"",VLOOKUP(I53,'Test Item'!C:H,4,0),"")</f>
        <v/>
      </c>
      <c r="M53" s="46"/>
      <c r="N53" s="51"/>
      <c r="O53"/>
      <c r="P53" s="51"/>
    </row>
    <row r="54" spans="1:16" s="9" customFormat="1" x14ac:dyDescent="0.3">
      <c r="A54" s="115" t="s">
        <v>347</v>
      </c>
      <c r="B54" s="113" t="s">
        <v>167</v>
      </c>
      <c r="C54" s="16" t="s">
        <v>348</v>
      </c>
      <c r="D54" s="109">
        <v>4.5</v>
      </c>
      <c r="E54" s="109">
        <v>10</v>
      </c>
      <c r="F54" s="109">
        <v>20</v>
      </c>
      <c r="G54" s="110" t="s">
        <v>33</v>
      </c>
      <c r="H54" s="47" t="s">
        <v>3</v>
      </c>
      <c r="I54" s="68" t="s">
        <v>1606</v>
      </c>
      <c r="J54" s="3">
        <f>IF(I54&lt;&gt;"",VLOOKUP(I54,'Test Item'!C:H,2,0),"")</f>
        <v>10</v>
      </c>
      <c r="K54" s="3">
        <f>IF(I54&lt;&gt;"",VLOOKUP(I54,'Test Item'!C:H,3,0),"")</f>
        <v>20</v>
      </c>
      <c r="L54" s="3" t="str">
        <f>IF(I54&lt;&gt;"",VLOOKUP(I54,'Test Item'!C:H,4,0),"")</f>
        <v>mV</v>
      </c>
      <c r="M54" s="46"/>
      <c r="N54" s="51"/>
      <c r="O54"/>
      <c r="P54" s="51"/>
    </row>
    <row r="55" spans="1:16" s="9" customFormat="1" x14ac:dyDescent="0.3">
      <c r="A55" s="115"/>
      <c r="B55" s="113"/>
      <c r="C55" s="16" t="s">
        <v>349</v>
      </c>
      <c r="D55" s="109"/>
      <c r="E55" s="109"/>
      <c r="F55" s="109"/>
      <c r="G55" s="110"/>
      <c r="H55" s="47" t="s">
        <v>3</v>
      </c>
      <c r="I55" s="68" t="s">
        <v>1607</v>
      </c>
      <c r="J55" s="3">
        <f>IF(I55&lt;&gt;"",VLOOKUP(I55,'Test Item'!C:H,2,0),"")</f>
        <v>10</v>
      </c>
      <c r="K55" s="3">
        <f>IF(I55&lt;&gt;"",VLOOKUP(I55,'Test Item'!C:H,3,0),"")</f>
        <v>20</v>
      </c>
      <c r="L55" s="3" t="str">
        <f>IF(I55&lt;&gt;"",VLOOKUP(I55,'Test Item'!C:H,4,0),"")</f>
        <v>mV</v>
      </c>
      <c r="M55" s="46"/>
      <c r="N55" s="51"/>
      <c r="O55"/>
      <c r="P55" s="51"/>
    </row>
    <row r="56" spans="1:16" s="9" customFormat="1" x14ac:dyDescent="0.3">
      <c r="A56" s="115" t="s">
        <v>350</v>
      </c>
      <c r="B56" s="113" t="s">
        <v>169</v>
      </c>
      <c r="C56" s="16" t="s">
        <v>348</v>
      </c>
      <c r="D56" s="109">
        <v>30</v>
      </c>
      <c r="E56" s="109">
        <v>45</v>
      </c>
      <c r="F56" s="109">
        <v>60</v>
      </c>
      <c r="G56" s="110" t="s">
        <v>33</v>
      </c>
      <c r="H56" s="47" t="s">
        <v>3</v>
      </c>
      <c r="I56" s="68" t="s">
        <v>1608</v>
      </c>
      <c r="J56" s="3">
        <f>IF(I56&lt;&gt;"",VLOOKUP(I56,'Test Item'!C:H,2,0),"")</f>
        <v>35</v>
      </c>
      <c r="K56" s="3">
        <f>IF(I56&lt;&gt;"",VLOOKUP(I56,'Test Item'!C:H,3,0),"")</f>
        <v>55</v>
      </c>
      <c r="L56" s="3" t="str">
        <f>IF(I56&lt;&gt;"",VLOOKUP(I56,'Test Item'!C:H,4,0),"")</f>
        <v>mV</v>
      </c>
      <c r="M56" s="46"/>
      <c r="N56" s="51"/>
      <c r="O56"/>
      <c r="P56" s="51"/>
    </row>
    <row r="57" spans="1:16" s="9" customFormat="1" x14ac:dyDescent="0.3">
      <c r="A57" s="115"/>
      <c r="B57" s="113"/>
      <c r="C57" s="16" t="s">
        <v>349</v>
      </c>
      <c r="D57" s="109"/>
      <c r="E57" s="109"/>
      <c r="F57" s="109"/>
      <c r="G57" s="110"/>
      <c r="H57" s="47" t="s">
        <v>3</v>
      </c>
      <c r="I57" s="68" t="s">
        <v>1609</v>
      </c>
      <c r="J57" s="3">
        <f>IF(I57&lt;&gt;"",VLOOKUP(I57,'Test Item'!C:H,2,0),"")</f>
        <v>35</v>
      </c>
      <c r="K57" s="3">
        <f>IF(I57&lt;&gt;"",VLOOKUP(I57,'Test Item'!C:H,3,0),"")</f>
        <v>55</v>
      </c>
      <c r="L57" s="3" t="str">
        <f>IF(I57&lt;&gt;"",VLOOKUP(I57,'Test Item'!C:H,4,0),"")</f>
        <v>mV</v>
      </c>
      <c r="M57" s="46"/>
      <c r="N57" s="51"/>
      <c r="O57"/>
      <c r="P57" s="51"/>
    </row>
    <row r="58" spans="1:16" s="9" customFormat="1" ht="23" x14ac:dyDescent="0.3">
      <c r="A58" s="33" t="s">
        <v>351</v>
      </c>
      <c r="B58" s="16" t="s">
        <v>171</v>
      </c>
      <c r="C58" s="16" t="s">
        <v>352</v>
      </c>
      <c r="D58" s="17"/>
      <c r="E58" s="17">
        <v>80</v>
      </c>
      <c r="F58" s="17">
        <v>450</v>
      </c>
      <c r="G58" s="39" t="s">
        <v>68</v>
      </c>
      <c r="H58" s="47" t="s">
        <v>3</v>
      </c>
      <c r="I58" s="68" t="s">
        <v>172</v>
      </c>
      <c r="J58" s="3">
        <f>IF(I58&lt;&gt;"",VLOOKUP(I58,'Test Item'!C:H,2,0),"")</f>
        <v>60</v>
      </c>
      <c r="K58" s="3">
        <f>IF(I58&lt;&gt;"",VLOOKUP(I58,'Test Item'!C:H,3,0),"")</f>
        <v>120</v>
      </c>
      <c r="L58" s="3" t="str">
        <f>IF(I58&lt;&gt;"",VLOOKUP(I58,'Test Item'!C:H,4,0),"")</f>
        <v>uA</v>
      </c>
      <c r="M58" s="46"/>
      <c r="N58" s="51"/>
      <c r="O58"/>
      <c r="P58" s="51"/>
    </row>
    <row r="59" spans="1:16" s="9" customFormat="1" x14ac:dyDescent="0.3">
      <c r="A59" s="33" t="s">
        <v>353</v>
      </c>
      <c r="B59" s="16" t="s">
        <v>173</v>
      </c>
      <c r="C59" s="16" t="s">
        <v>354</v>
      </c>
      <c r="D59" s="17"/>
      <c r="E59" s="17">
        <v>300</v>
      </c>
      <c r="F59" s="17">
        <v>2500</v>
      </c>
      <c r="G59" s="39" t="s">
        <v>98</v>
      </c>
      <c r="H59" s="47" t="s">
        <v>3</v>
      </c>
      <c r="I59" s="68" t="s">
        <v>174</v>
      </c>
      <c r="J59" s="3">
        <f>IF(I59&lt;&gt;"",VLOOKUP(I59,'Test Item'!C:H,2,0),"")</f>
        <v>250</v>
      </c>
      <c r="K59" s="3">
        <f>IF(I59&lt;&gt;"",VLOOKUP(I59,'Test Item'!C:H,3,0),"")</f>
        <v>350</v>
      </c>
      <c r="L59" s="3" t="str">
        <f>IF(I59&lt;&gt;"",VLOOKUP(I59,'Test Item'!C:H,4,0),"")</f>
        <v>Ohm</v>
      </c>
      <c r="M59" s="46"/>
      <c r="N59" s="51"/>
      <c r="O59"/>
      <c r="P59" s="51"/>
    </row>
    <row r="60" spans="1:16" s="9" customFormat="1" ht="20" x14ac:dyDescent="0.3">
      <c r="A60" s="33" t="s">
        <v>355</v>
      </c>
      <c r="B60" s="16" t="s">
        <v>175</v>
      </c>
      <c r="C60" s="16" t="s">
        <v>176</v>
      </c>
      <c r="D60" s="17">
        <v>13</v>
      </c>
      <c r="E60" s="17">
        <v>15</v>
      </c>
      <c r="F60" s="17">
        <v>17</v>
      </c>
      <c r="G60" s="39" t="s">
        <v>177</v>
      </c>
      <c r="H60" s="47" t="s">
        <v>1601</v>
      </c>
      <c r="I60" s="68"/>
      <c r="J60" s="3" t="str">
        <f>IF(I60&lt;&gt;"",VLOOKUP(I60,'Test Item'!C:H,2,0),"")</f>
        <v/>
      </c>
      <c r="K60" s="3" t="str">
        <f>IF(I60&lt;&gt;"",VLOOKUP(I60,'Test Item'!C:H,3,0),"")</f>
        <v/>
      </c>
      <c r="L60" s="3" t="str">
        <f>IF(I60&lt;&gt;"",VLOOKUP(I60,'Test Item'!C:H,4,0),"")</f>
        <v/>
      </c>
      <c r="M60" s="46"/>
      <c r="N60" s="51"/>
      <c r="O60"/>
      <c r="P60" s="51"/>
    </row>
    <row r="61" spans="1:16" s="9" customFormat="1" ht="20" x14ac:dyDescent="0.3">
      <c r="A61" s="33" t="s">
        <v>356</v>
      </c>
      <c r="B61" s="16" t="s">
        <v>178</v>
      </c>
      <c r="C61" s="16" t="s">
        <v>179</v>
      </c>
      <c r="D61" s="17"/>
      <c r="E61" s="17">
        <v>1.3</v>
      </c>
      <c r="F61" s="17"/>
      <c r="G61" s="39" t="s">
        <v>141</v>
      </c>
      <c r="H61" s="47" t="s">
        <v>1601</v>
      </c>
      <c r="I61" s="68"/>
      <c r="J61" s="3" t="str">
        <f>IF(I61&lt;&gt;"",VLOOKUP(I61,'Test Item'!C:H,2,0),"")</f>
        <v/>
      </c>
      <c r="K61" s="3" t="str">
        <f>IF(I61&lt;&gt;"",VLOOKUP(I61,'Test Item'!C:H,3,0),"")</f>
        <v/>
      </c>
      <c r="L61" s="3" t="str">
        <f>IF(I61&lt;&gt;"",VLOOKUP(I61,'Test Item'!C:H,4,0),"")</f>
        <v/>
      </c>
      <c r="M61" s="46"/>
      <c r="N61" s="51" t="str">
        <f t="shared" si="0"/>
        <v/>
      </c>
      <c r="O61" t="str">
        <f t="shared" si="1"/>
        <v/>
      </c>
      <c r="P61" s="51"/>
    </row>
    <row r="62" spans="1:16" s="9" customFormat="1" x14ac:dyDescent="0.3">
      <c r="A62" s="33" t="s">
        <v>357</v>
      </c>
      <c r="B62" s="16" t="s">
        <v>358</v>
      </c>
      <c r="C62" s="16" t="s">
        <v>180</v>
      </c>
      <c r="D62" s="17"/>
      <c r="E62" s="17">
        <v>4</v>
      </c>
      <c r="F62" s="17"/>
      <c r="G62" s="39" t="s">
        <v>177</v>
      </c>
      <c r="H62" s="47" t="s">
        <v>1601</v>
      </c>
      <c r="I62" s="68"/>
      <c r="J62" s="3" t="str">
        <f>IF(I62&lt;&gt;"",VLOOKUP(I62,'Test Item'!C:H,2,0),"")</f>
        <v/>
      </c>
      <c r="K62" s="3" t="str">
        <f>IF(I62&lt;&gt;"",VLOOKUP(I62,'Test Item'!C:H,3,0),"")</f>
        <v/>
      </c>
      <c r="L62" s="3" t="str">
        <f>IF(I62&lt;&gt;"",VLOOKUP(I62,'Test Item'!C:H,4,0),"")</f>
        <v/>
      </c>
      <c r="M62" s="46"/>
      <c r="N62" s="51" t="str">
        <f t="shared" si="0"/>
        <v/>
      </c>
      <c r="O62" t="str">
        <f t="shared" si="1"/>
        <v/>
      </c>
      <c r="P62" s="51"/>
    </row>
    <row r="63" spans="1:16" s="9" customFormat="1" ht="26" x14ac:dyDescent="0.3">
      <c r="A63" s="33" t="s">
        <v>359</v>
      </c>
      <c r="B63" s="16" t="s">
        <v>360</v>
      </c>
      <c r="C63" s="16" t="s">
        <v>361</v>
      </c>
      <c r="D63" s="17"/>
      <c r="E63" s="17">
        <v>15</v>
      </c>
      <c r="F63" s="17"/>
      <c r="G63" s="39" t="s">
        <v>177</v>
      </c>
      <c r="H63" s="47" t="s">
        <v>1601</v>
      </c>
      <c r="I63" s="68"/>
      <c r="J63" s="3" t="str">
        <f>IF(I63&lt;&gt;"",VLOOKUP(I63,'Test Item'!C:H,2,0),"")</f>
        <v/>
      </c>
      <c r="K63" s="3" t="str">
        <f>IF(I63&lt;&gt;"",VLOOKUP(I63,'Test Item'!C:H,3,0),"")</f>
        <v/>
      </c>
      <c r="L63" s="3" t="str">
        <f>IF(I63&lt;&gt;"",VLOOKUP(I63,'Test Item'!C:H,4,0),"")</f>
        <v/>
      </c>
      <c r="M63" s="46"/>
      <c r="N63" s="51" t="str">
        <f t="shared" si="0"/>
        <v/>
      </c>
      <c r="O63" t="str">
        <f t="shared" si="1"/>
        <v/>
      </c>
      <c r="P63" s="51"/>
    </row>
    <row r="64" spans="1:16" s="9" customFormat="1" ht="26" x14ac:dyDescent="0.3">
      <c r="A64" s="33" t="s">
        <v>362</v>
      </c>
      <c r="B64" s="16" t="s">
        <v>181</v>
      </c>
      <c r="C64" s="16" t="s">
        <v>363</v>
      </c>
      <c r="D64" s="17"/>
      <c r="E64" s="17">
        <v>50</v>
      </c>
      <c r="F64" s="17">
        <v>100</v>
      </c>
      <c r="G64" s="39" t="s">
        <v>182</v>
      </c>
      <c r="H64" s="47" t="s">
        <v>1601</v>
      </c>
      <c r="I64" s="68"/>
      <c r="J64" s="3" t="str">
        <f>IF(I64&lt;&gt;"",VLOOKUP(I64,'Test Item'!C:H,2,0),"")</f>
        <v/>
      </c>
      <c r="K64" s="3" t="str">
        <f>IF(I64&lt;&gt;"",VLOOKUP(I64,'Test Item'!C:H,3,0),"")</f>
        <v/>
      </c>
      <c r="L64" s="3" t="str">
        <f>IF(I64&lt;&gt;"",VLOOKUP(I64,'Test Item'!C:H,4,0),"")</f>
        <v/>
      </c>
      <c r="M64" s="46"/>
      <c r="N64" s="51"/>
      <c r="O64"/>
      <c r="P64" s="51"/>
    </row>
    <row r="65" spans="1:16" s="9" customFormat="1" ht="15" customHeight="1" x14ac:dyDescent="0.3">
      <c r="A65" s="94" t="s">
        <v>183</v>
      </c>
      <c r="B65" s="95"/>
      <c r="C65" s="95"/>
      <c r="D65" s="95"/>
      <c r="E65" s="95"/>
      <c r="F65" s="95"/>
      <c r="G65" s="96"/>
      <c r="H65" s="47"/>
      <c r="I65" s="68"/>
      <c r="J65" s="3" t="str">
        <f>IF(I65&lt;&gt;"",VLOOKUP(I65,'Test Item'!C:H,2,0),"")</f>
        <v/>
      </c>
      <c r="K65" s="3" t="str">
        <f>IF(I65&lt;&gt;"",VLOOKUP(I65,'Test Item'!C:H,3,0),"")</f>
        <v/>
      </c>
      <c r="L65" s="3" t="str">
        <f>IF(I65&lt;&gt;"",VLOOKUP(I65,'Test Item'!C:H,4,0),"")</f>
        <v/>
      </c>
      <c r="M65" s="46"/>
      <c r="N65" s="51"/>
      <c r="O65"/>
      <c r="P65" s="51"/>
    </row>
    <row r="66" spans="1:16" s="9" customFormat="1" ht="23" x14ac:dyDescent="0.3">
      <c r="A66" s="33" t="s">
        <v>364</v>
      </c>
      <c r="B66" s="16" t="s">
        <v>184</v>
      </c>
      <c r="C66" s="16" t="s">
        <v>365</v>
      </c>
      <c r="D66" s="17"/>
      <c r="E66" s="17">
        <v>45</v>
      </c>
      <c r="F66" s="17">
        <v>60</v>
      </c>
      <c r="G66" s="39" t="s">
        <v>185</v>
      </c>
      <c r="H66" s="47" t="s">
        <v>3</v>
      </c>
      <c r="I66" s="68" t="s">
        <v>186</v>
      </c>
      <c r="J66" s="3">
        <f>IF(I66&lt;&gt;"",VLOOKUP(I66,'Test Item'!C:H,2,0),"")</f>
        <v>25</v>
      </c>
      <c r="K66" s="3">
        <f>IF(I66&lt;&gt;"",VLOOKUP(I66,'Test Item'!C:H,3,0),"")</f>
        <v>55</v>
      </c>
      <c r="L66" s="3" t="str">
        <f>IF(I66&lt;&gt;"",VLOOKUP(I66,'Test Item'!C:H,4,0),"")</f>
        <v>mOhm</v>
      </c>
      <c r="M66" s="46"/>
      <c r="N66" s="51"/>
      <c r="O66"/>
      <c r="P66" s="51"/>
    </row>
    <row r="67" spans="1:16" s="9" customFormat="1" x14ac:dyDescent="0.3">
      <c r="A67" s="33" t="s">
        <v>366</v>
      </c>
      <c r="B67" s="16" t="s">
        <v>187</v>
      </c>
      <c r="C67" s="16" t="s">
        <v>156</v>
      </c>
      <c r="D67" s="17">
        <v>3.4</v>
      </c>
      <c r="E67" s="17">
        <v>3.6</v>
      </c>
      <c r="F67" s="17">
        <v>3.8</v>
      </c>
      <c r="G67" s="39" t="s">
        <v>8</v>
      </c>
      <c r="H67" s="47" t="s">
        <v>3</v>
      </c>
      <c r="I67" s="68" t="s">
        <v>188</v>
      </c>
      <c r="J67" s="3">
        <f>IF(I67&lt;&gt;"",VLOOKUP(I67,'Test Item'!C:H,2,0),"")</f>
        <v>3.45</v>
      </c>
      <c r="K67" s="3">
        <f>IF(I67&lt;&gt;"",VLOOKUP(I67,'Test Item'!C:H,3,0),"")</f>
        <v>3.75</v>
      </c>
      <c r="L67" s="3" t="str">
        <f>IF(I67&lt;&gt;"",VLOOKUP(I67,'Test Item'!C:H,4,0),"")</f>
        <v>V</v>
      </c>
      <c r="M67" s="46"/>
      <c r="N67" s="51"/>
      <c r="O67"/>
      <c r="P67" s="51"/>
    </row>
    <row r="68" spans="1:16" s="9" customFormat="1" x14ac:dyDescent="0.3">
      <c r="A68" s="33" t="s">
        <v>367</v>
      </c>
      <c r="B68" s="16" t="s">
        <v>189</v>
      </c>
      <c r="C68" s="16"/>
      <c r="D68" s="17"/>
      <c r="E68" s="17">
        <v>250</v>
      </c>
      <c r="F68" s="17"/>
      <c r="G68" s="39" t="s">
        <v>33</v>
      </c>
      <c r="H68" s="47" t="s">
        <v>3</v>
      </c>
      <c r="I68" s="68" t="s">
        <v>190</v>
      </c>
      <c r="J68" s="3">
        <f>IF(I68&lt;&gt;"",VLOOKUP(I68,'Test Item'!C:H,2,0),"")</f>
        <v>0.2</v>
      </c>
      <c r="K68" s="3">
        <f>IF(I68&lt;&gt;"",VLOOKUP(I68,'Test Item'!C:H,3,0),"")</f>
        <v>0.3</v>
      </c>
      <c r="L68" s="3" t="str">
        <f>IF(I68&lt;&gt;"",VLOOKUP(I68,'Test Item'!C:H,4,0),"")</f>
        <v>V</v>
      </c>
      <c r="M68" s="46"/>
      <c r="N68" s="51" t="str">
        <f t="shared" si="0"/>
        <v/>
      </c>
      <c r="O68" t="str">
        <f t="shared" si="1"/>
        <v/>
      </c>
      <c r="P68" s="51"/>
    </row>
    <row r="69" spans="1:16" s="9" customFormat="1" x14ac:dyDescent="0.3">
      <c r="A69" s="33" t="s">
        <v>368</v>
      </c>
      <c r="B69" s="16" t="s">
        <v>191</v>
      </c>
      <c r="C69" s="16" t="s">
        <v>192</v>
      </c>
      <c r="D69" s="17"/>
      <c r="E69" s="17">
        <v>10</v>
      </c>
      <c r="F69" s="17"/>
      <c r="G69" s="39" t="s">
        <v>33</v>
      </c>
      <c r="H69" s="47" t="s">
        <v>3</v>
      </c>
      <c r="I69" s="68" t="s">
        <v>193</v>
      </c>
      <c r="J69" s="3">
        <f>IF(I69&lt;&gt;"",VLOOKUP(I69,'Test Item'!C:H,2,0),"")</f>
        <v>6</v>
      </c>
      <c r="K69" s="3">
        <f>IF(I69&lt;&gt;"",VLOOKUP(I69,'Test Item'!C:H,3,0),"")</f>
        <v>23.5</v>
      </c>
      <c r="L69" s="3" t="str">
        <f>IF(I69&lt;&gt;"",VLOOKUP(I69,'Test Item'!C:H,4,0),"")</f>
        <v>mV</v>
      </c>
      <c r="M69" s="46"/>
      <c r="N69" s="51"/>
      <c r="O69"/>
      <c r="P69" s="51"/>
    </row>
    <row r="70" spans="1:16" s="9" customFormat="1" x14ac:dyDescent="0.3">
      <c r="A70" s="33" t="s">
        <v>369</v>
      </c>
      <c r="B70" s="16" t="s">
        <v>194</v>
      </c>
      <c r="C70" s="16" t="s">
        <v>195</v>
      </c>
      <c r="D70" s="17">
        <v>1000</v>
      </c>
      <c r="E70" s="17"/>
      <c r="F70" s="17">
        <v>3600</v>
      </c>
      <c r="G70" s="39" t="s">
        <v>17</v>
      </c>
      <c r="H70" s="47" t="s">
        <v>3</v>
      </c>
      <c r="I70" s="68" t="s">
        <v>196</v>
      </c>
      <c r="J70" s="3">
        <f>IF(I70&lt;&gt;"",VLOOKUP(I70,'Test Item'!C:H,2,0),"")</f>
        <v>1.05</v>
      </c>
      <c r="K70" s="3">
        <f>IF(I70&lt;&gt;"",VLOOKUP(I70,'Test Item'!C:H,3,0),"")</f>
        <v>1.23</v>
      </c>
      <c r="L70" s="3" t="str">
        <f>IF(I70&lt;&gt;"",VLOOKUP(I70,'Test Item'!C:H,4,0),"")</f>
        <v>A</v>
      </c>
      <c r="M70" s="46" t="s">
        <v>1610</v>
      </c>
      <c r="N70" s="51"/>
      <c r="O70"/>
      <c r="P70" s="51"/>
    </row>
    <row r="71" spans="1:16" s="9" customFormat="1" x14ac:dyDescent="0.3">
      <c r="A71" s="115" t="s">
        <v>370</v>
      </c>
      <c r="B71" s="113" t="s">
        <v>197</v>
      </c>
      <c r="C71" s="16" t="s">
        <v>371</v>
      </c>
      <c r="D71" s="17">
        <v>3.3</v>
      </c>
      <c r="E71" s="17">
        <v>13.3</v>
      </c>
      <c r="F71" s="17">
        <v>23.3</v>
      </c>
      <c r="G71" s="39" t="s">
        <v>32</v>
      </c>
      <c r="H71" s="47" t="s">
        <v>3</v>
      </c>
      <c r="I71" s="68"/>
      <c r="J71" s="3" t="str">
        <f>IF(I71&lt;&gt;"",VLOOKUP(I71,'Test Item'!C:H,2,0),"")</f>
        <v/>
      </c>
      <c r="K71" s="3" t="str">
        <f>IF(I71&lt;&gt;"",VLOOKUP(I71,'Test Item'!C:H,3,0),"")</f>
        <v/>
      </c>
      <c r="L71" s="3" t="str">
        <f>IF(I71&lt;&gt;"",VLOOKUP(I71,'Test Item'!C:H,4,0),"")</f>
        <v/>
      </c>
      <c r="M71" s="46" t="s">
        <v>1611</v>
      </c>
      <c r="N71" s="51"/>
      <c r="O71"/>
      <c r="P71" s="51"/>
    </row>
    <row r="72" spans="1:16" s="9" customFormat="1" x14ac:dyDescent="0.3">
      <c r="A72" s="115"/>
      <c r="B72" s="113"/>
      <c r="C72" s="16" t="s">
        <v>372</v>
      </c>
      <c r="D72" s="17">
        <v>1</v>
      </c>
      <c r="E72" s="17">
        <v>13.3</v>
      </c>
      <c r="F72" s="17">
        <v>27</v>
      </c>
      <c r="G72" s="39" t="s">
        <v>32</v>
      </c>
      <c r="H72" s="47" t="s">
        <v>3</v>
      </c>
      <c r="I72" s="68"/>
      <c r="J72" s="3" t="str">
        <f>IF(I72&lt;&gt;"",VLOOKUP(I72,'Test Item'!C:H,2,0),"")</f>
        <v/>
      </c>
      <c r="K72" s="3" t="str">
        <f>IF(I72&lt;&gt;"",VLOOKUP(I72,'Test Item'!C:H,3,0),"")</f>
        <v/>
      </c>
      <c r="L72" s="3" t="str">
        <f>IF(I72&lt;&gt;"",VLOOKUP(I72,'Test Item'!C:H,4,0),"")</f>
        <v/>
      </c>
      <c r="M72" s="46"/>
      <c r="N72" s="51"/>
      <c r="O72"/>
      <c r="P72" s="51"/>
    </row>
    <row r="73" spans="1:16" s="9" customFormat="1" ht="20" x14ac:dyDescent="0.3">
      <c r="A73" s="30" t="s">
        <v>373</v>
      </c>
      <c r="B73" s="16" t="s">
        <v>198</v>
      </c>
      <c r="C73" s="16" t="s">
        <v>374</v>
      </c>
      <c r="D73" s="17">
        <v>4.5</v>
      </c>
      <c r="E73" s="17">
        <v>10</v>
      </c>
      <c r="F73" s="17">
        <v>20</v>
      </c>
      <c r="G73" s="39" t="s">
        <v>33</v>
      </c>
      <c r="H73" s="47" t="s">
        <v>3</v>
      </c>
      <c r="I73" s="68" t="s">
        <v>1612</v>
      </c>
      <c r="J73" s="3">
        <f>IF(I73&lt;&gt;"",VLOOKUP(I73,'Test Item'!C:H,2,0),"")</f>
        <v>4.5</v>
      </c>
      <c r="K73" s="3">
        <f>IF(I73&lt;&gt;"",VLOOKUP(I73,'Test Item'!C:H,3,0),"")</f>
        <v>18.5</v>
      </c>
      <c r="L73" s="3" t="str">
        <f>IF(I73&lt;&gt;"",VLOOKUP(I73,'Test Item'!C:H,4,0),"")</f>
        <v>mV</v>
      </c>
      <c r="M73" s="46"/>
      <c r="N73" s="51"/>
      <c r="O73"/>
      <c r="P73" s="51"/>
    </row>
    <row r="74" spans="1:16" s="9" customFormat="1" ht="20" x14ac:dyDescent="0.3">
      <c r="A74" s="30" t="s">
        <v>375</v>
      </c>
      <c r="B74" s="16" t="s">
        <v>200</v>
      </c>
      <c r="C74" s="16" t="s">
        <v>374</v>
      </c>
      <c r="D74" s="17">
        <v>30</v>
      </c>
      <c r="E74" s="17">
        <v>45</v>
      </c>
      <c r="F74" s="17">
        <v>69</v>
      </c>
      <c r="G74" s="39" t="s">
        <v>33</v>
      </c>
      <c r="H74" s="47" t="s">
        <v>3</v>
      </c>
      <c r="I74" s="68" t="s">
        <v>201</v>
      </c>
      <c r="J74" s="3">
        <f>IF(I74&lt;&gt;"",VLOOKUP(I74,'Test Item'!C:H,2,0),"")</f>
        <v>32</v>
      </c>
      <c r="K74" s="3">
        <f>IF(I74&lt;&gt;"",VLOOKUP(I74,'Test Item'!C:H,3,0),"")</f>
        <v>60</v>
      </c>
      <c r="L74" s="3" t="str">
        <f>IF(I74&lt;&gt;"",VLOOKUP(I74,'Test Item'!C:H,4,0),"")</f>
        <v>mV</v>
      </c>
      <c r="M74" s="46"/>
      <c r="N74" s="51"/>
      <c r="O74"/>
      <c r="P74" s="51"/>
    </row>
    <row r="75" spans="1:16" s="9" customFormat="1" x14ac:dyDescent="0.3">
      <c r="A75" s="33" t="s">
        <v>376</v>
      </c>
      <c r="B75" s="16" t="s">
        <v>202</v>
      </c>
      <c r="C75" s="16" t="s">
        <v>203</v>
      </c>
      <c r="D75" s="17"/>
      <c r="E75" s="17">
        <v>1</v>
      </c>
      <c r="F75" s="17">
        <v>8</v>
      </c>
      <c r="G75" s="39" t="s">
        <v>68</v>
      </c>
      <c r="H75" s="47" t="s">
        <v>3</v>
      </c>
      <c r="I75" s="68" t="s">
        <v>884</v>
      </c>
      <c r="J75" s="3">
        <f>IF(I75&lt;&gt;"",VLOOKUP(I75,'Test Item'!C:H,2,0),"")</f>
        <v>1</v>
      </c>
      <c r="K75" s="3">
        <f>IF(I75&lt;&gt;"",VLOOKUP(I75,'Test Item'!C:H,3,0),"")</f>
        <v>4</v>
      </c>
      <c r="L75" s="3" t="str">
        <f>IF(I75&lt;&gt;"",VLOOKUP(I75,'Test Item'!C:H,4,0),"")</f>
        <v>uA</v>
      </c>
      <c r="M75" s="46"/>
      <c r="N75" s="51"/>
      <c r="O75"/>
      <c r="P75" s="51"/>
    </row>
    <row r="76" spans="1:16" s="9" customFormat="1" x14ac:dyDescent="0.3">
      <c r="A76" s="33" t="s">
        <v>377</v>
      </c>
      <c r="B76" s="16" t="s">
        <v>204</v>
      </c>
      <c r="C76" s="16" t="s">
        <v>205</v>
      </c>
      <c r="D76" s="20">
        <v>-0.1</v>
      </c>
      <c r="E76" s="17" t="s">
        <v>206</v>
      </c>
      <c r="F76" s="17"/>
      <c r="G76" s="39" t="s">
        <v>207</v>
      </c>
      <c r="H76" s="47" t="s">
        <v>1601</v>
      </c>
      <c r="I76" s="68"/>
      <c r="J76" s="3" t="str">
        <f>IF(I76&lt;&gt;"",VLOOKUP(I76,'Test Item'!C:H,2,0),"")</f>
        <v/>
      </c>
      <c r="K76" s="3" t="str">
        <f>IF(I76&lt;&gt;"",VLOOKUP(I76,'Test Item'!C:H,3,0),"")</f>
        <v/>
      </c>
      <c r="L76" s="3" t="str">
        <f>IF(I76&lt;&gt;"",VLOOKUP(I76,'Test Item'!C:H,4,0),"")</f>
        <v/>
      </c>
      <c r="M76" s="46"/>
      <c r="N76" s="51"/>
      <c r="O76"/>
      <c r="P76" s="51"/>
    </row>
    <row r="77" spans="1:16" s="9" customFormat="1" ht="26" x14ac:dyDescent="0.3">
      <c r="A77" s="33" t="s">
        <v>378</v>
      </c>
      <c r="B77" s="16" t="s">
        <v>208</v>
      </c>
      <c r="C77" s="16" t="s">
        <v>379</v>
      </c>
      <c r="D77" s="17"/>
      <c r="E77" s="17">
        <v>15</v>
      </c>
      <c r="F77" s="17"/>
      <c r="G77" s="39" t="s">
        <v>177</v>
      </c>
      <c r="H77" s="47" t="s">
        <v>1601</v>
      </c>
      <c r="I77" s="68"/>
      <c r="J77" s="3" t="str">
        <f>IF(I77&lt;&gt;"",VLOOKUP(I77,'Test Item'!C:H,2,0),"")</f>
        <v/>
      </c>
      <c r="K77" s="3" t="str">
        <f>IF(I77&lt;&gt;"",VLOOKUP(I77,'Test Item'!C:H,3,0),"")</f>
        <v/>
      </c>
      <c r="L77" s="3" t="str">
        <f>IF(I77&lt;&gt;"",VLOOKUP(I77,'Test Item'!C:H,4,0),"")</f>
        <v/>
      </c>
      <c r="M77" s="46"/>
      <c r="N77" s="51"/>
      <c r="O77"/>
      <c r="P77" s="51"/>
    </row>
    <row r="78" spans="1:16" s="9" customFormat="1" ht="20" x14ac:dyDescent="0.3">
      <c r="A78" s="33" t="s">
        <v>380</v>
      </c>
      <c r="B78" s="16" t="s">
        <v>209</v>
      </c>
      <c r="C78" s="16" t="s">
        <v>210</v>
      </c>
      <c r="D78" s="17"/>
      <c r="E78" s="17" t="s">
        <v>211</v>
      </c>
      <c r="F78" s="17"/>
      <c r="G78" s="39" t="s">
        <v>177</v>
      </c>
      <c r="H78" s="47" t="s">
        <v>1601</v>
      </c>
      <c r="I78" s="68"/>
      <c r="J78" s="3" t="str">
        <f>IF(I78&lt;&gt;"",VLOOKUP(I78,'Test Item'!C:H,2,0),"")</f>
        <v/>
      </c>
      <c r="K78" s="3" t="str">
        <f>IF(I78&lt;&gt;"",VLOOKUP(I78,'Test Item'!C:H,3,0),"")</f>
        <v/>
      </c>
      <c r="L78" s="3" t="str">
        <f>IF(I78&lt;&gt;"",VLOOKUP(I78,'Test Item'!C:H,4,0),"")</f>
        <v/>
      </c>
      <c r="M78" s="46"/>
      <c r="N78" s="51"/>
      <c r="O78"/>
      <c r="P78" s="51"/>
    </row>
    <row r="79" spans="1:16" s="9" customFormat="1" ht="26" x14ac:dyDescent="0.3">
      <c r="A79" s="33" t="s">
        <v>381</v>
      </c>
      <c r="B79" s="16" t="s">
        <v>382</v>
      </c>
      <c r="C79" s="16" t="s">
        <v>383</v>
      </c>
      <c r="D79" s="17"/>
      <c r="E79" s="17">
        <v>1.5</v>
      </c>
      <c r="F79" s="17">
        <v>3</v>
      </c>
      <c r="G79" s="39" t="s">
        <v>177</v>
      </c>
      <c r="H79" s="47" t="s">
        <v>3</v>
      </c>
      <c r="I79" s="68" t="s">
        <v>212</v>
      </c>
      <c r="J79" s="3">
        <f>IF(I79&lt;&gt;"",VLOOKUP(I79,'Test Item'!C:H,2,0),"")</f>
        <v>0.5</v>
      </c>
      <c r="K79" s="3">
        <f>IF(I79&lt;&gt;"",VLOOKUP(I79,'Test Item'!C:H,3,0),"")</f>
        <v>2.9</v>
      </c>
      <c r="L79" s="3" t="str">
        <f>IF(I79&lt;&gt;"",VLOOKUP(I79,'Test Item'!C:H,4,0),"")</f>
        <v>mS</v>
      </c>
      <c r="M79" s="46"/>
      <c r="N79" s="51"/>
      <c r="O79"/>
      <c r="P79" s="51"/>
    </row>
    <row r="80" spans="1:16" s="9" customFormat="1" ht="26" x14ac:dyDescent="0.3">
      <c r="A80" s="33" t="s">
        <v>384</v>
      </c>
      <c r="B80" s="16" t="s">
        <v>213</v>
      </c>
      <c r="C80" s="16" t="s">
        <v>385</v>
      </c>
      <c r="D80" s="17">
        <v>11</v>
      </c>
      <c r="E80" s="17">
        <v>15</v>
      </c>
      <c r="F80" s="17">
        <v>20</v>
      </c>
      <c r="G80" s="39" t="s">
        <v>141</v>
      </c>
      <c r="H80" s="47" t="s">
        <v>1601</v>
      </c>
      <c r="I80" s="68"/>
      <c r="J80" s="3" t="str">
        <f>IF(I80&lt;&gt;"",VLOOKUP(I80,'Test Item'!C:H,2,0),"")</f>
        <v/>
      </c>
      <c r="K80" s="3" t="str">
        <f>IF(I80&lt;&gt;"",VLOOKUP(I80,'Test Item'!C:H,3,0),"")</f>
        <v/>
      </c>
      <c r="L80" s="3" t="str">
        <f>IF(I80&lt;&gt;"",VLOOKUP(I80,'Test Item'!C:H,4,0),"")</f>
        <v/>
      </c>
      <c r="M80" s="46"/>
      <c r="N80" s="51"/>
      <c r="O80"/>
      <c r="P80" s="51"/>
    </row>
    <row r="81" spans="1:16" s="9" customFormat="1" x14ac:dyDescent="0.3">
      <c r="A81" s="33" t="s">
        <v>386</v>
      </c>
      <c r="B81" s="16" t="s">
        <v>214</v>
      </c>
      <c r="C81" s="16" t="s">
        <v>215</v>
      </c>
      <c r="D81" s="17"/>
      <c r="E81" s="17">
        <v>3.2</v>
      </c>
      <c r="F81" s="17"/>
      <c r="G81" s="39" t="s">
        <v>141</v>
      </c>
      <c r="H81" s="47" t="s">
        <v>1601</v>
      </c>
      <c r="I81" s="68"/>
      <c r="J81" s="3" t="str">
        <f>IF(I81&lt;&gt;"",VLOOKUP(I81,'Test Item'!C:H,2,0),"")</f>
        <v/>
      </c>
      <c r="K81" s="3" t="str">
        <f>IF(I81&lt;&gt;"",VLOOKUP(I81,'Test Item'!C:H,3,0),"")</f>
        <v/>
      </c>
      <c r="L81" s="3" t="str">
        <f>IF(I81&lt;&gt;"",VLOOKUP(I81,'Test Item'!C:H,4,0),"")</f>
        <v/>
      </c>
      <c r="M81" s="46"/>
      <c r="N81" s="51"/>
      <c r="O81"/>
      <c r="P81" s="51"/>
    </row>
    <row r="82" spans="1:16" s="9" customFormat="1" x14ac:dyDescent="0.3">
      <c r="A82" s="33" t="s">
        <v>387</v>
      </c>
      <c r="B82" s="16" t="s">
        <v>216</v>
      </c>
      <c r="C82" s="16" t="s">
        <v>217</v>
      </c>
      <c r="D82" s="17"/>
      <c r="E82" s="17">
        <v>4</v>
      </c>
      <c r="F82" s="17"/>
      <c r="G82" s="39" t="s">
        <v>177</v>
      </c>
      <c r="H82" s="47" t="s">
        <v>1601</v>
      </c>
      <c r="I82" s="68"/>
      <c r="J82" s="3" t="str">
        <f>IF(I82&lt;&gt;"",VLOOKUP(I82,'Test Item'!C:H,2,0),"")</f>
        <v/>
      </c>
      <c r="K82" s="3" t="str">
        <f>IF(I82&lt;&gt;"",VLOOKUP(I82,'Test Item'!C:H,3,0),"")</f>
        <v/>
      </c>
      <c r="L82" s="3" t="str">
        <f>IF(I82&lt;&gt;"",VLOOKUP(I82,'Test Item'!C:H,4,0),"")</f>
        <v/>
      </c>
      <c r="M82" s="46"/>
      <c r="N82" s="51"/>
      <c r="O82"/>
      <c r="P82" s="51"/>
    </row>
    <row r="83" spans="1:16" s="9" customFormat="1" ht="26" x14ac:dyDescent="0.3">
      <c r="A83" s="33" t="s">
        <v>388</v>
      </c>
      <c r="B83" s="16" t="s">
        <v>218</v>
      </c>
      <c r="C83" s="16" t="s">
        <v>389</v>
      </c>
      <c r="D83" s="17"/>
      <c r="E83" s="17">
        <v>15</v>
      </c>
      <c r="F83" s="17">
        <v>50</v>
      </c>
      <c r="G83" s="39" t="s">
        <v>141</v>
      </c>
      <c r="H83" s="47" t="s">
        <v>1601</v>
      </c>
      <c r="I83" s="68"/>
      <c r="J83" s="3" t="str">
        <f>IF(I83&lt;&gt;"",VLOOKUP(I83,'Test Item'!C:H,2,0),"")</f>
        <v/>
      </c>
      <c r="K83" s="3" t="str">
        <f>IF(I83&lt;&gt;"",VLOOKUP(I83,'Test Item'!C:H,3,0),"")</f>
        <v/>
      </c>
      <c r="L83" s="3" t="str">
        <f>IF(I83&lt;&gt;"",VLOOKUP(I83,'Test Item'!C:H,4,0),"")</f>
        <v/>
      </c>
      <c r="M83" s="46"/>
      <c r="N83" s="51"/>
      <c r="O83"/>
      <c r="P83" s="51"/>
    </row>
    <row r="84" spans="1:16" s="9" customFormat="1" ht="15.75" customHeight="1" x14ac:dyDescent="0.3">
      <c r="A84" s="94" t="s">
        <v>219</v>
      </c>
      <c r="B84" s="95"/>
      <c r="C84" s="95"/>
      <c r="D84" s="95"/>
      <c r="E84" s="95"/>
      <c r="F84" s="95"/>
      <c r="G84" s="96"/>
      <c r="H84" s="47"/>
      <c r="I84" s="68"/>
      <c r="J84" s="3" t="str">
        <f>IF(I84&lt;&gt;"",VLOOKUP(I84,'Test Item'!C:H,2,0),"")</f>
        <v/>
      </c>
      <c r="K84" s="3" t="str">
        <f>IF(I84&lt;&gt;"",VLOOKUP(I84,'Test Item'!C:H,3,0),"")</f>
        <v/>
      </c>
      <c r="L84" s="3" t="str">
        <f>IF(I84&lt;&gt;"",VLOOKUP(I84,'Test Item'!C:H,4,0),"")</f>
        <v/>
      </c>
      <c r="M84" s="46"/>
      <c r="N84" s="51"/>
      <c r="O84"/>
      <c r="P84" s="51"/>
    </row>
    <row r="85" spans="1:16" s="9" customFormat="1" ht="23" x14ac:dyDescent="0.3">
      <c r="A85" s="33" t="s">
        <v>390</v>
      </c>
      <c r="B85" s="16" t="s">
        <v>220</v>
      </c>
      <c r="C85" s="16" t="s">
        <v>391</v>
      </c>
      <c r="D85" s="17"/>
      <c r="E85" s="17">
        <v>3.6</v>
      </c>
      <c r="F85" s="17">
        <v>7</v>
      </c>
      <c r="G85" s="39" t="s">
        <v>98</v>
      </c>
      <c r="H85" s="47" t="s">
        <v>3</v>
      </c>
      <c r="I85" s="68" t="s">
        <v>221</v>
      </c>
      <c r="J85" s="3">
        <f>IF(I85&lt;&gt;"",VLOOKUP(I85,'Test Item'!C:H,2,0),"")</f>
        <v>1.5</v>
      </c>
      <c r="K85" s="3">
        <f>IF(I85&lt;&gt;"",VLOOKUP(I85,'Test Item'!C:H,3,0),"")</f>
        <v>7</v>
      </c>
      <c r="L85" s="3" t="str">
        <f>IF(I85&lt;&gt;"",VLOOKUP(I85,'Test Item'!C:H,4,0),"")</f>
        <v>Ohm</v>
      </c>
      <c r="M85" s="46"/>
      <c r="N85" s="51"/>
      <c r="O85"/>
      <c r="P85" s="51"/>
    </row>
    <row r="86" spans="1:16" s="9" customFormat="1" ht="14.25" customHeight="1" x14ac:dyDescent="0.3">
      <c r="A86" s="115" t="s">
        <v>392</v>
      </c>
      <c r="B86" s="113" t="s">
        <v>222</v>
      </c>
      <c r="C86" s="113" t="s">
        <v>393</v>
      </c>
      <c r="D86" s="109" t="s">
        <v>223</v>
      </c>
      <c r="E86" s="17">
        <v>6</v>
      </c>
      <c r="F86" s="17">
        <v>6.21</v>
      </c>
      <c r="G86" s="110" t="s">
        <v>8</v>
      </c>
      <c r="H86" s="47" t="s">
        <v>3</v>
      </c>
      <c r="I86" s="68" t="s">
        <v>224</v>
      </c>
      <c r="J86" s="3">
        <f>IF(I86&lt;&gt;"",VLOOKUP(I86,'Test Item'!C:H,2,0),"")</f>
        <v>5.86</v>
      </c>
      <c r="K86" s="3">
        <f>IF(I86&lt;&gt;"",VLOOKUP(I86,'Test Item'!C:H,3,0),"")</f>
        <v>6.19</v>
      </c>
      <c r="L86" s="3" t="str">
        <f>IF(I86&lt;&gt;"",VLOOKUP(I86,'Test Item'!C:H,4,0),"")</f>
        <v>V</v>
      </c>
      <c r="M86" s="46"/>
      <c r="N86" s="51"/>
      <c r="O86"/>
      <c r="P86" s="51"/>
    </row>
    <row r="87" spans="1:16" s="9" customFormat="1" x14ac:dyDescent="0.3">
      <c r="A87" s="115"/>
      <c r="B87" s="113"/>
      <c r="C87" s="113"/>
      <c r="D87" s="109"/>
      <c r="E87" s="17">
        <v>5.8</v>
      </c>
      <c r="F87" s="17">
        <v>6</v>
      </c>
      <c r="G87" s="110"/>
      <c r="H87" s="47" t="s">
        <v>3</v>
      </c>
      <c r="I87" s="68" t="s">
        <v>959</v>
      </c>
      <c r="J87" s="3">
        <f>IF(I87&lt;&gt;"",VLOOKUP(I87,'Test Item'!C:H,2,0),"")</f>
        <v>5.67</v>
      </c>
      <c r="K87" s="3">
        <f>IF(I87&lt;&gt;"",VLOOKUP(I87,'Test Item'!C:H,3,0),"")</f>
        <v>5.98</v>
      </c>
      <c r="L87" s="3" t="str">
        <f>IF(I87&lt;&gt;"",VLOOKUP(I87,'Test Item'!C:H,4,0),"")</f>
        <v>V</v>
      </c>
      <c r="M87" s="46"/>
      <c r="N87" s="51"/>
      <c r="O87"/>
      <c r="P87" s="51"/>
    </row>
    <row r="88" spans="1:16" s="9" customFormat="1" x14ac:dyDescent="0.3">
      <c r="A88" s="33" t="s">
        <v>394</v>
      </c>
      <c r="B88" s="16" t="s">
        <v>225</v>
      </c>
      <c r="C88" s="16" t="s">
        <v>226</v>
      </c>
      <c r="D88" s="17"/>
      <c r="E88" s="17">
        <v>250</v>
      </c>
      <c r="F88" s="17"/>
      <c r="G88" s="39" t="s">
        <v>33</v>
      </c>
      <c r="H88" s="47" t="s">
        <v>3</v>
      </c>
      <c r="I88" s="68" t="s">
        <v>227</v>
      </c>
      <c r="J88" s="3">
        <f>IF(I88&lt;&gt;"",VLOOKUP(I88,'Test Item'!C:H,2,0),"")</f>
        <v>0.1</v>
      </c>
      <c r="K88" s="3">
        <f>IF(I88&lt;&gt;"",VLOOKUP(I88,'Test Item'!C:H,3,0),"")</f>
        <v>0.5</v>
      </c>
      <c r="L88" s="3" t="str">
        <f>IF(I88&lt;&gt;"",VLOOKUP(I88,'Test Item'!C:H,4,0),"")</f>
        <v>V</v>
      </c>
      <c r="M88" s="46"/>
      <c r="N88" s="51"/>
      <c r="O88"/>
      <c r="P88" s="51"/>
    </row>
    <row r="89" spans="1:16" s="9" customFormat="1" x14ac:dyDescent="0.3">
      <c r="A89" s="33" t="s">
        <v>395</v>
      </c>
      <c r="B89" s="16" t="s">
        <v>228</v>
      </c>
      <c r="C89" s="16" t="s">
        <v>396</v>
      </c>
      <c r="D89" s="17"/>
      <c r="E89" s="17">
        <v>30</v>
      </c>
      <c r="F89" s="17">
        <v>100</v>
      </c>
      <c r="G89" s="39" t="s">
        <v>182</v>
      </c>
      <c r="H89" s="47" t="s">
        <v>1601</v>
      </c>
      <c r="I89" s="68"/>
      <c r="J89" s="3" t="str">
        <f>IF(I89&lt;&gt;"",VLOOKUP(I89,'Test Item'!C:H,2,0),"")</f>
        <v/>
      </c>
      <c r="K89" s="3" t="str">
        <f>IF(I89&lt;&gt;"",VLOOKUP(I89,'Test Item'!C:H,3,0),"")</f>
        <v/>
      </c>
      <c r="L89" s="3" t="str">
        <f>IF(I89&lt;&gt;"",VLOOKUP(I89,'Test Item'!C:H,4,0),"")</f>
        <v/>
      </c>
      <c r="M89" s="46"/>
      <c r="N89" s="51"/>
      <c r="O89"/>
      <c r="P89" s="51"/>
    </row>
    <row r="90" spans="1:16" s="9" customFormat="1" ht="23" x14ac:dyDescent="0.3">
      <c r="A90" s="33" t="s">
        <v>397</v>
      </c>
      <c r="B90" s="16" t="s">
        <v>398</v>
      </c>
      <c r="C90" s="16" t="s">
        <v>399</v>
      </c>
      <c r="D90" s="17"/>
      <c r="E90" s="17">
        <v>1</v>
      </c>
      <c r="F90" s="17"/>
      <c r="G90" s="39" t="s">
        <v>177</v>
      </c>
      <c r="H90" s="47" t="s">
        <v>1601</v>
      </c>
      <c r="I90" s="68"/>
      <c r="J90" s="3" t="str">
        <f>IF(I90&lt;&gt;"",VLOOKUP(I90,'Test Item'!C:H,2,0),"")</f>
        <v/>
      </c>
      <c r="K90" s="3" t="str">
        <f>IF(I90&lt;&gt;"",VLOOKUP(I90,'Test Item'!C:H,3,0),"")</f>
        <v/>
      </c>
      <c r="L90" s="3" t="str">
        <f>IF(I90&lt;&gt;"",VLOOKUP(I90,'Test Item'!C:H,4,0),"")</f>
        <v/>
      </c>
      <c r="M90" s="46"/>
      <c r="N90" s="51"/>
      <c r="O90"/>
      <c r="P90" s="51"/>
    </row>
    <row r="91" spans="1:16" s="9" customFormat="1" x14ac:dyDescent="0.3">
      <c r="A91" s="33" t="s">
        <v>400</v>
      </c>
      <c r="B91" s="16" t="s">
        <v>230</v>
      </c>
      <c r="C91" s="16" t="s">
        <v>401</v>
      </c>
      <c r="D91" s="17"/>
      <c r="E91" s="17">
        <v>100</v>
      </c>
      <c r="F91" s="17"/>
      <c r="G91" s="39" t="s">
        <v>9</v>
      </c>
      <c r="H91" s="47" t="s">
        <v>1601</v>
      </c>
      <c r="I91" s="68"/>
      <c r="J91" s="3" t="str">
        <f>IF(I91&lt;&gt;"",VLOOKUP(I91,'Test Item'!C:H,2,0),"")</f>
        <v/>
      </c>
      <c r="K91" s="3" t="str">
        <f>IF(I91&lt;&gt;"",VLOOKUP(I91,'Test Item'!C:H,3,0),"")</f>
        <v/>
      </c>
      <c r="L91" s="3" t="str">
        <f>IF(I91&lt;&gt;"",VLOOKUP(I91,'Test Item'!C:H,4,0),"")</f>
        <v/>
      </c>
      <c r="M91" s="46"/>
      <c r="N91" s="51"/>
      <c r="O91"/>
      <c r="P91" s="51"/>
    </row>
    <row r="92" spans="1:16" s="9" customFormat="1" x14ac:dyDescent="0.3">
      <c r="A92" s="33" t="s">
        <v>402</v>
      </c>
      <c r="B92" s="16" t="s">
        <v>403</v>
      </c>
      <c r="C92" s="16" t="s">
        <v>404</v>
      </c>
      <c r="D92" s="17"/>
      <c r="E92" s="17">
        <v>4</v>
      </c>
      <c r="F92" s="17">
        <v>10</v>
      </c>
      <c r="G92" s="39" t="s">
        <v>68</v>
      </c>
      <c r="H92" s="47" t="s">
        <v>3</v>
      </c>
      <c r="I92" s="68" t="s">
        <v>231</v>
      </c>
      <c r="J92" s="3">
        <f>IF(I92&lt;&gt;"",VLOOKUP(I92,'Test Item'!C:H,2,0),"")</f>
        <v>1</v>
      </c>
      <c r="K92" s="3">
        <f>IF(I92&lt;&gt;"",VLOOKUP(I92,'Test Item'!C:H,3,0),"")</f>
        <v>8</v>
      </c>
      <c r="L92" s="3" t="str">
        <f>IF(I92&lt;&gt;"",VLOOKUP(I92,'Test Item'!C:H,4,0),"")</f>
        <v>uA</v>
      </c>
      <c r="M92" s="46"/>
      <c r="N92" s="51"/>
      <c r="O92"/>
      <c r="P92" s="51"/>
    </row>
    <row r="93" spans="1:16" s="9" customFormat="1" x14ac:dyDescent="0.3">
      <c r="A93" s="33" t="s">
        <v>405</v>
      </c>
      <c r="B93" s="16" t="s">
        <v>232</v>
      </c>
      <c r="C93" s="16" t="s">
        <v>406</v>
      </c>
      <c r="D93" s="17">
        <v>4.0999999999999996</v>
      </c>
      <c r="E93" s="17">
        <v>5.0999999999999996</v>
      </c>
      <c r="F93" s="17">
        <v>6.1</v>
      </c>
      <c r="G93" s="39" t="s">
        <v>113</v>
      </c>
      <c r="H93" s="47" t="s">
        <v>3</v>
      </c>
      <c r="I93" s="68" t="s">
        <v>233</v>
      </c>
      <c r="J93" s="3">
        <f>IF(I93&lt;&gt;"",VLOOKUP(I93,'Test Item'!C:H,2,0),"")</f>
        <v>4.4000000000000004</v>
      </c>
      <c r="K93" s="3">
        <f>IF(I93&lt;&gt;"",VLOOKUP(I93,'Test Item'!C:H,3,0),"")</f>
        <v>5.8</v>
      </c>
      <c r="L93" s="3" t="str">
        <f>IF(I93&lt;&gt;"",VLOOKUP(I93,'Test Item'!C:H,4,0),"")</f>
        <v>kOhm</v>
      </c>
      <c r="M93" s="46"/>
      <c r="N93" s="51"/>
      <c r="O93"/>
      <c r="P93" s="51"/>
    </row>
    <row r="94" spans="1:16" s="9" customFormat="1" x14ac:dyDescent="0.3">
      <c r="A94" s="33" t="s">
        <v>407</v>
      </c>
      <c r="B94" s="16" t="s">
        <v>234</v>
      </c>
      <c r="C94" s="16" t="s">
        <v>235</v>
      </c>
      <c r="D94" s="17"/>
      <c r="E94" s="17">
        <v>40</v>
      </c>
      <c r="F94" s="17"/>
      <c r="G94" s="39" t="s">
        <v>98</v>
      </c>
      <c r="H94" s="47" t="s">
        <v>3</v>
      </c>
      <c r="I94" s="68" t="s">
        <v>236</v>
      </c>
      <c r="J94" s="3">
        <f>IF(I94&lt;&gt;"",VLOOKUP(I94,'Test Item'!C:H,2,0),"")</f>
        <v>35</v>
      </c>
      <c r="K94" s="3">
        <f>IF(I94&lt;&gt;"",VLOOKUP(I94,'Test Item'!C:H,3,0),"")</f>
        <v>55</v>
      </c>
      <c r="L94" s="3" t="str">
        <f>IF(I94&lt;&gt;"",VLOOKUP(I94,'Test Item'!C:H,4,0),"")</f>
        <v>Ohm</v>
      </c>
      <c r="M94" s="46"/>
      <c r="N94" s="51" t="str">
        <f t="shared" ref="N94:N104" si="2">IF(D94&lt;&gt;"",J94-D94,"")</f>
        <v/>
      </c>
      <c r="O94" t="str">
        <f t="shared" ref="O94:O104" si="3">IF(F94&lt;&gt;"",F94-K94,"")</f>
        <v/>
      </c>
      <c r="P94" s="51"/>
    </row>
    <row r="95" spans="1:16" s="9" customFormat="1" ht="15.75" customHeight="1" x14ac:dyDescent="0.3">
      <c r="A95" s="94" t="s">
        <v>237</v>
      </c>
      <c r="B95" s="95"/>
      <c r="C95" s="95"/>
      <c r="D95" s="95"/>
      <c r="E95" s="95"/>
      <c r="F95" s="95"/>
      <c r="G95" s="96"/>
      <c r="H95" s="47"/>
      <c r="I95" s="68"/>
      <c r="J95" s="3" t="str">
        <f>IF(I95&lt;&gt;"",VLOOKUP(I95,'Test Item'!C:H,2,0),"")</f>
        <v/>
      </c>
      <c r="K95" s="3" t="str">
        <f>IF(I95&lt;&gt;"",VLOOKUP(I95,'Test Item'!C:H,3,0),"")</f>
        <v/>
      </c>
      <c r="L95" s="3" t="str">
        <f>IF(I95&lt;&gt;"",VLOOKUP(I95,'Test Item'!C:H,4,0),"")</f>
        <v/>
      </c>
      <c r="M95" s="46"/>
      <c r="N95" s="51" t="str">
        <f t="shared" si="2"/>
        <v/>
      </c>
      <c r="O95" t="str">
        <f t="shared" si="3"/>
        <v/>
      </c>
      <c r="P95" s="51"/>
    </row>
    <row r="96" spans="1:16" s="9" customFormat="1" x14ac:dyDescent="0.3">
      <c r="A96" s="33" t="s">
        <v>408</v>
      </c>
      <c r="B96" s="16" t="s">
        <v>409</v>
      </c>
      <c r="C96" s="16" t="s">
        <v>410</v>
      </c>
      <c r="D96" s="17"/>
      <c r="E96" s="17">
        <v>0.55000000000000004</v>
      </c>
      <c r="F96" s="17">
        <v>0.85</v>
      </c>
      <c r="G96" s="39" t="s">
        <v>98</v>
      </c>
      <c r="H96" s="47" t="s">
        <v>3</v>
      </c>
      <c r="I96" s="68" t="s">
        <v>238</v>
      </c>
      <c r="J96" s="3">
        <f>IF(I96&lt;&gt;"",VLOOKUP(I96,'Test Item'!C:H,2,0),"")</f>
        <v>0.35</v>
      </c>
      <c r="K96" s="3">
        <f>IF(I96&lt;&gt;"",VLOOKUP(I96,'Test Item'!C:H,3,0),"")</f>
        <v>0.75</v>
      </c>
      <c r="L96" s="3" t="str">
        <f>IF(I96&lt;&gt;"",VLOOKUP(I96,'Test Item'!C:H,4,0),"")</f>
        <v>Ohm</v>
      </c>
      <c r="M96" s="46"/>
      <c r="N96" s="51"/>
      <c r="O96"/>
      <c r="P96" s="51"/>
    </row>
    <row r="97" spans="1:16" s="9" customFormat="1" x14ac:dyDescent="0.3">
      <c r="A97" s="33" t="s">
        <v>411</v>
      </c>
      <c r="B97" s="16" t="s">
        <v>239</v>
      </c>
      <c r="C97" s="16" t="s">
        <v>412</v>
      </c>
      <c r="D97" s="17"/>
      <c r="E97" s="17" t="s">
        <v>240</v>
      </c>
      <c r="F97" s="17"/>
      <c r="G97" s="39" t="s">
        <v>207</v>
      </c>
      <c r="H97" s="47" t="s">
        <v>3</v>
      </c>
      <c r="I97" s="68" t="s">
        <v>241</v>
      </c>
      <c r="J97" s="3">
        <f>IF(I97&lt;&gt;"",VLOOKUP(I97,'Test Item'!C:H,2,0),"")</f>
        <v>410</v>
      </c>
      <c r="K97" s="3">
        <f>IF(I97&lt;&gt;"",VLOOKUP(I97,'Test Item'!C:H,3,0),"")</f>
        <v>470</v>
      </c>
      <c r="L97" s="3" t="str">
        <f>IF(I97&lt;&gt;"",VLOOKUP(I97,'Test Item'!C:H,4,0),"")</f>
        <v>mA</v>
      </c>
      <c r="M97" s="46" t="s">
        <v>1614</v>
      </c>
      <c r="N97" s="51"/>
      <c r="O97"/>
      <c r="P97" s="51"/>
    </row>
    <row r="98" spans="1:16" s="9" customFormat="1" x14ac:dyDescent="0.3">
      <c r="A98" s="33" t="s">
        <v>413</v>
      </c>
      <c r="B98" s="16" t="s">
        <v>242</v>
      </c>
      <c r="C98" s="16" t="s">
        <v>243</v>
      </c>
      <c r="D98" s="17">
        <v>0</v>
      </c>
      <c r="E98" s="17">
        <v>10</v>
      </c>
      <c r="F98" s="17">
        <v>20</v>
      </c>
      <c r="G98" s="39" t="s">
        <v>32</v>
      </c>
      <c r="H98" s="47" t="s">
        <v>3</v>
      </c>
      <c r="I98" s="68"/>
      <c r="J98" s="3" t="str">
        <f>IF(I98&lt;&gt;"",VLOOKUP(I98,'Test Item'!C:H,2,0),"")</f>
        <v/>
      </c>
      <c r="K98" s="3" t="str">
        <f>IF(I98&lt;&gt;"",VLOOKUP(I98,'Test Item'!C:H,3,0),"")</f>
        <v/>
      </c>
      <c r="L98" s="3" t="str">
        <f>IF(I98&lt;&gt;"",VLOOKUP(I98,'Test Item'!C:H,4,0),"")</f>
        <v/>
      </c>
      <c r="M98" s="46" t="s">
        <v>1611</v>
      </c>
      <c r="N98" s="51"/>
      <c r="O98"/>
      <c r="P98" s="51"/>
    </row>
    <row r="99" spans="1:16" s="9" customFormat="1" x14ac:dyDescent="0.3">
      <c r="A99" s="33" t="s">
        <v>414</v>
      </c>
      <c r="B99" s="16" t="s">
        <v>244</v>
      </c>
      <c r="C99" s="16" t="s">
        <v>245</v>
      </c>
      <c r="D99" s="17"/>
      <c r="E99" s="17">
        <v>8</v>
      </c>
      <c r="F99" s="17"/>
      <c r="G99" s="39" t="s">
        <v>177</v>
      </c>
      <c r="H99" s="47" t="s">
        <v>1601</v>
      </c>
      <c r="I99" s="68"/>
      <c r="J99" s="3" t="str">
        <f>IF(I99&lt;&gt;"",VLOOKUP(I99,'Test Item'!C:H,2,0),"")</f>
        <v/>
      </c>
      <c r="K99" s="3" t="str">
        <f>IF(I99&lt;&gt;"",VLOOKUP(I99,'Test Item'!C:H,3,0),"")</f>
        <v/>
      </c>
      <c r="L99" s="3" t="str">
        <f>IF(I99&lt;&gt;"",VLOOKUP(I99,'Test Item'!C:H,4,0),"")</f>
        <v/>
      </c>
      <c r="M99" s="46"/>
      <c r="N99" s="51"/>
      <c r="O99"/>
      <c r="P99" s="51"/>
    </row>
    <row r="100" spans="1:16" s="9" customFormat="1" x14ac:dyDescent="0.3">
      <c r="A100" s="33" t="s">
        <v>415</v>
      </c>
      <c r="B100" s="16" t="s">
        <v>246</v>
      </c>
      <c r="C100" s="16" t="s">
        <v>247</v>
      </c>
      <c r="D100" s="17"/>
      <c r="E100" s="17">
        <v>30</v>
      </c>
      <c r="F100" s="17">
        <v>100</v>
      </c>
      <c r="G100" s="39" t="s">
        <v>182</v>
      </c>
      <c r="H100" s="47" t="s">
        <v>1601</v>
      </c>
      <c r="I100" s="68"/>
      <c r="J100" s="3" t="str">
        <f>IF(I100&lt;&gt;"",VLOOKUP(I100,'Test Item'!C:H,2,0),"")</f>
        <v/>
      </c>
      <c r="K100" s="3" t="str">
        <f>IF(I100&lt;&gt;"",VLOOKUP(I100,'Test Item'!C:H,3,0),"")</f>
        <v/>
      </c>
      <c r="L100" s="3" t="str">
        <f>IF(I100&lt;&gt;"",VLOOKUP(I100,'Test Item'!C:H,4,0),"")</f>
        <v/>
      </c>
      <c r="M100" s="46"/>
      <c r="N100" s="51"/>
      <c r="O100"/>
      <c r="P100" s="51"/>
    </row>
    <row r="101" spans="1:16" s="9" customFormat="1" ht="23" x14ac:dyDescent="0.3">
      <c r="A101" s="33" t="s">
        <v>416</v>
      </c>
      <c r="B101" s="16" t="s">
        <v>248</v>
      </c>
      <c r="C101" s="16" t="s">
        <v>417</v>
      </c>
      <c r="D101" s="17"/>
      <c r="E101" s="17">
        <v>1</v>
      </c>
      <c r="F101" s="17"/>
      <c r="G101" s="39" t="s">
        <v>177</v>
      </c>
      <c r="H101" s="47" t="s">
        <v>1601</v>
      </c>
      <c r="I101" s="68"/>
      <c r="J101" s="3" t="str">
        <f>IF(I101&lt;&gt;"",VLOOKUP(I101,'Test Item'!C:H,2,0),"")</f>
        <v/>
      </c>
      <c r="K101" s="3" t="str">
        <f>IF(I101&lt;&gt;"",VLOOKUP(I101,'Test Item'!C:H,3,0),"")</f>
        <v/>
      </c>
      <c r="L101" s="3" t="str">
        <f>IF(I101&lt;&gt;"",VLOOKUP(I101,'Test Item'!C:H,4,0),"")</f>
        <v/>
      </c>
      <c r="M101" s="46"/>
      <c r="N101" s="51" t="str">
        <f t="shared" si="2"/>
        <v/>
      </c>
      <c r="O101" t="str">
        <f t="shared" si="3"/>
        <v/>
      </c>
      <c r="P101" s="51"/>
    </row>
    <row r="102" spans="1:16" s="9" customFormat="1" x14ac:dyDescent="0.3">
      <c r="A102" s="33" t="s">
        <v>418</v>
      </c>
      <c r="B102" s="16" t="s">
        <v>249</v>
      </c>
      <c r="C102" s="16" t="s">
        <v>250</v>
      </c>
      <c r="D102" s="17"/>
      <c r="E102" s="17">
        <v>1.5</v>
      </c>
      <c r="F102" s="17"/>
      <c r="G102" s="39" t="s">
        <v>177</v>
      </c>
      <c r="H102" s="47" t="s">
        <v>3</v>
      </c>
      <c r="I102" s="68" t="s">
        <v>251</v>
      </c>
      <c r="J102" s="3">
        <f>IF(I102&lt;&gt;"",VLOOKUP(I102,'Test Item'!C:H,2,0),"")</f>
        <v>0.5</v>
      </c>
      <c r="K102" s="3">
        <f>IF(I102&lt;&gt;"",VLOOKUP(I102,'Test Item'!C:H,3,0),"")</f>
        <v>3</v>
      </c>
      <c r="L102" s="3" t="str">
        <f>IF(I102&lt;&gt;"",VLOOKUP(I102,'Test Item'!C:H,4,0),"")</f>
        <v>mS</v>
      </c>
      <c r="M102" s="46"/>
      <c r="N102" s="51" t="str">
        <f t="shared" si="2"/>
        <v/>
      </c>
      <c r="O102" t="str">
        <f t="shared" si="3"/>
        <v/>
      </c>
      <c r="P102" s="51"/>
    </row>
    <row r="103" spans="1:16" s="9" customFormat="1" x14ac:dyDescent="0.3">
      <c r="A103" s="33" t="s">
        <v>419</v>
      </c>
      <c r="B103" s="16" t="s">
        <v>252</v>
      </c>
      <c r="C103" s="16" t="s">
        <v>420</v>
      </c>
      <c r="D103" s="17"/>
      <c r="E103" s="17">
        <v>5.0999999999999996</v>
      </c>
      <c r="F103" s="17"/>
      <c r="G103" s="39" t="s">
        <v>113</v>
      </c>
      <c r="H103" s="47" t="s">
        <v>3</v>
      </c>
      <c r="I103" s="68" t="s">
        <v>233</v>
      </c>
      <c r="J103" s="3">
        <f>IF(I103&lt;&gt;"",VLOOKUP(I103,'Test Item'!C:H,2,0),"")</f>
        <v>4.4000000000000004</v>
      </c>
      <c r="K103" s="3">
        <f>IF(I103&lt;&gt;"",VLOOKUP(I103,'Test Item'!C:H,3,0),"")</f>
        <v>5.8</v>
      </c>
      <c r="L103" s="3" t="str">
        <f>IF(I103&lt;&gt;"",VLOOKUP(I103,'Test Item'!C:H,4,0),"")</f>
        <v>kOhm</v>
      </c>
      <c r="M103" s="46"/>
      <c r="N103" s="51" t="str">
        <f t="shared" si="2"/>
        <v/>
      </c>
      <c r="O103" t="str">
        <f t="shared" si="3"/>
        <v/>
      </c>
      <c r="P103" s="51"/>
    </row>
    <row r="104" spans="1:16" s="9" customFormat="1" ht="15" customHeight="1" x14ac:dyDescent="0.3">
      <c r="A104" s="94" t="s">
        <v>253</v>
      </c>
      <c r="B104" s="95"/>
      <c r="C104" s="95"/>
      <c r="D104" s="95"/>
      <c r="E104" s="95"/>
      <c r="F104" s="95"/>
      <c r="G104" s="96"/>
      <c r="H104" s="47"/>
      <c r="I104" s="68"/>
      <c r="J104" s="3" t="str">
        <f>IF(I104&lt;&gt;"",VLOOKUP(I104,'Test Item'!C:H,2,0),"")</f>
        <v/>
      </c>
      <c r="K104" s="3" t="str">
        <f>IF(I104&lt;&gt;"",VLOOKUP(I104,'Test Item'!C:H,3,0),"")</f>
        <v/>
      </c>
      <c r="L104" s="3" t="str">
        <f>IF(I104&lt;&gt;"",VLOOKUP(I104,'Test Item'!C:H,4,0),"")</f>
        <v/>
      </c>
      <c r="M104" s="46"/>
      <c r="N104" s="51" t="str">
        <f t="shared" si="2"/>
        <v/>
      </c>
      <c r="O104" t="str">
        <f t="shared" si="3"/>
        <v/>
      </c>
      <c r="P104" s="51"/>
    </row>
    <row r="105" spans="1:16" s="9" customFormat="1" ht="23" x14ac:dyDescent="0.3">
      <c r="A105" s="33" t="s">
        <v>421</v>
      </c>
      <c r="B105" s="16" t="s">
        <v>254</v>
      </c>
      <c r="C105" s="16" t="s">
        <v>422</v>
      </c>
      <c r="D105" s="17"/>
      <c r="E105" s="17">
        <v>10</v>
      </c>
      <c r="F105" s="17">
        <v>14</v>
      </c>
      <c r="G105" s="39" t="s">
        <v>98</v>
      </c>
      <c r="H105" s="47" t="s">
        <v>3</v>
      </c>
      <c r="I105" s="70" t="s">
        <v>255</v>
      </c>
      <c r="J105" s="3">
        <f>IF(I105&lt;&gt;"",VLOOKUP(I105,'Test Item'!C:H,2,0),"")</f>
        <v>5</v>
      </c>
      <c r="K105" s="3">
        <f>IF(I105&lt;&gt;"",VLOOKUP(I105,'Test Item'!C:H,3,0),"")</f>
        <v>14</v>
      </c>
      <c r="L105" s="3" t="str">
        <f>IF(I105&lt;&gt;"",VLOOKUP(I105,'Test Item'!C:H,4,0),"")</f>
        <v>Ohm</v>
      </c>
      <c r="M105" s="46"/>
      <c r="N105" s="51"/>
      <c r="O105"/>
      <c r="P105" s="51"/>
    </row>
    <row r="106" spans="1:16" s="9" customFormat="1" x14ac:dyDescent="0.3">
      <c r="A106" s="33" t="s">
        <v>423</v>
      </c>
      <c r="B106" s="16" t="s">
        <v>256</v>
      </c>
      <c r="C106" s="16" t="s">
        <v>257</v>
      </c>
      <c r="D106" s="25">
        <v>4.0529999999999999</v>
      </c>
      <c r="E106" s="17">
        <v>4.2</v>
      </c>
      <c r="F106" s="17">
        <v>4.3470000000000004</v>
      </c>
      <c r="G106" s="39" t="s">
        <v>8</v>
      </c>
      <c r="H106" s="47" t="s">
        <v>3</v>
      </c>
      <c r="I106" s="68" t="s">
        <v>258</v>
      </c>
      <c r="J106" s="3">
        <f>IF(I106&lt;&gt;"",VLOOKUP(I106,'Test Item'!C:H,2,0),"")</f>
        <v>4.0599999999999996</v>
      </c>
      <c r="K106" s="3">
        <f>IF(I106&lt;&gt;"",VLOOKUP(I106,'Test Item'!C:H,3,0),"")</f>
        <v>4.34</v>
      </c>
      <c r="L106" s="3" t="str">
        <f>IF(I106&lt;&gt;"",VLOOKUP(I106,'Test Item'!C:H,4,0),"")</f>
        <v>V</v>
      </c>
      <c r="M106" s="46"/>
      <c r="N106" s="51"/>
      <c r="O106"/>
      <c r="P106" s="51"/>
    </row>
    <row r="107" spans="1:16" s="9" customFormat="1" ht="23" x14ac:dyDescent="0.3">
      <c r="A107" s="33" t="s">
        <v>424</v>
      </c>
      <c r="B107" s="16" t="s">
        <v>259</v>
      </c>
      <c r="C107" s="18" t="s">
        <v>425</v>
      </c>
      <c r="D107" s="17"/>
      <c r="E107" s="17">
        <v>250</v>
      </c>
      <c r="F107" s="17"/>
      <c r="G107" s="39" t="s">
        <v>33</v>
      </c>
      <c r="H107" s="47" t="s">
        <v>3</v>
      </c>
      <c r="I107" s="68" t="s">
        <v>260</v>
      </c>
      <c r="J107" s="3">
        <f>IF(I107&lt;&gt;"",VLOOKUP(I107,'Test Item'!C:H,2,0),"")</f>
        <v>0.15</v>
      </c>
      <c r="K107" s="3">
        <f>IF(I107&lt;&gt;"",VLOOKUP(I107,'Test Item'!C:H,3,0),"")</f>
        <v>0.35</v>
      </c>
      <c r="L107" s="3" t="str">
        <f>IF(I107&lt;&gt;"",VLOOKUP(I107,'Test Item'!C:H,4,0),"")</f>
        <v>V</v>
      </c>
      <c r="M107" s="46"/>
      <c r="N107" s="51"/>
      <c r="O107"/>
      <c r="P107" s="51"/>
    </row>
    <row r="108" spans="1:16" s="9" customFormat="1" ht="25" x14ac:dyDescent="0.3">
      <c r="A108" s="33" t="s">
        <v>426</v>
      </c>
      <c r="B108" s="16" t="s">
        <v>261</v>
      </c>
      <c r="C108" s="18" t="s">
        <v>427</v>
      </c>
      <c r="D108" s="17"/>
      <c r="E108" s="17">
        <v>10</v>
      </c>
      <c r="F108" s="17"/>
      <c r="G108" s="39" t="s">
        <v>141</v>
      </c>
      <c r="H108" s="47" t="s">
        <v>1601</v>
      </c>
      <c r="I108" s="68"/>
      <c r="J108" s="3" t="str">
        <f>IF(I108&lt;&gt;"",VLOOKUP(I108,'Test Item'!C:H,2,0),"")</f>
        <v/>
      </c>
      <c r="K108" s="3" t="str">
        <f>IF(I108&lt;&gt;"",VLOOKUP(I108,'Test Item'!C:H,3,0),"")</f>
        <v/>
      </c>
      <c r="L108" s="3" t="str">
        <f>IF(I108&lt;&gt;"",VLOOKUP(I108,'Test Item'!C:H,4,0),"")</f>
        <v/>
      </c>
      <c r="M108" s="46"/>
      <c r="N108" s="51"/>
      <c r="O108"/>
      <c r="P108" s="51"/>
    </row>
    <row r="109" spans="1:16" s="9" customFormat="1" x14ac:dyDescent="0.3">
      <c r="A109" s="33" t="s">
        <v>428</v>
      </c>
      <c r="B109" s="16" t="s">
        <v>262</v>
      </c>
      <c r="C109" s="18" t="s">
        <v>429</v>
      </c>
      <c r="D109" s="17"/>
      <c r="E109" s="17" t="s">
        <v>263</v>
      </c>
      <c r="F109" s="17" t="s">
        <v>264</v>
      </c>
      <c r="G109" s="39" t="s">
        <v>182</v>
      </c>
      <c r="H109" s="47" t="s">
        <v>1601</v>
      </c>
      <c r="I109" s="68"/>
      <c r="J109" s="3" t="str">
        <f>IF(I109&lt;&gt;"",VLOOKUP(I109,'Test Item'!C:H,2,0),"")</f>
        <v/>
      </c>
      <c r="K109" s="3" t="str">
        <f>IF(I109&lt;&gt;"",VLOOKUP(I109,'Test Item'!C:H,3,0),"")</f>
        <v/>
      </c>
      <c r="L109" s="3" t="str">
        <f>IF(I109&lt;&gt;"",VLOOKUP(I109,'Test Item'!C:H,4,0),"")</f>
        <v/>
      </c>
      <c r="M109" s="46"/>
      <c r="N109" s="51"/>
      <c r="O109"/>
      <c r="P109" s="51"/>
    </row>
    <row r="110" spans="1:16" s="9" customFormat="1" x14ac:dyDescent="0.3">
      <c r="A110" s="33" t="s">
        <v>430</v>
      </c>
      <c r="B110" s="18" t="s">
        <v>229</v>
      </c>
      <c r="C110" s="16" t="s">
        <v>431</v>
      </c>
      <c r="D110" s="17"/>
      <c r="E110" s="17">
        <v>1</v>
      </c>
      <c r="F110" s="17"/>
      <c r="G110" s="39" t="s">
        <v>177</v>
      </c>
      <c r="H110" s="47" t="s">
        <v>1601</v>
      </c>
      <c r="I110" s="68"/>
      <c r="J110" s="3" t="str">
        <f>IF(I110&lt;&gt;"",VLOOKUP(I110,'Test Item'!C:H,2,0),"")</f>
        <v/>
      </c>
      <c r="K110" s="3" t="str">
        <f>IF(I110&lt;&gt;"",VLOOKUP(I110,'Test Item'!C:H,3,0),"")</f>
        <v/>
      </c>
      <c r="L110" s="3" t="str">
        <f>IF(I110&lt;&gt;"",VLOOKUP(I110,'Test Item'!C:H,4,0),"")</f>
        <v/>
      </c>
      <c r="M110" s="46"/>
      <c r="N110" s="51"/>
      <c r="O110"/>
      <c r="P110" s="51"/>
    </row>
    <row r="111" spans="1:16" s="9" customFormat="1" x14ac:dyDescent="0.3">
      <c r="A111" s="33" t="s">
        <v>432</v>
      </c>
      <c r="B111" s="18" t="s">
        <v>230</v>
      </c>
      <c r="C111" s="16" t="s">
        <v>433</v>
      </c>
      <c r="D111" s="17">
        <v>200</v>
      </c>
      <c r="E111" s="17">
        <v>250</v>
      </c>
      <c r="F111" s="17"/>
      <c r="G111" s="39" t="s">
        <v>9</v>
      </c>
      <c r="H111" s="47" t="s">
        <v>1601</v>
      </c>
      <c r="I111" s="68"/>
      <c r="J111" s="3" t="str">
        <f>IF(I111&lt;&gt;"",VLOOKUP(I111,'Test Item'!C:H,2,0),"")</f>
        <v/>
      </c>
      <c r="K111" s="3" t="str">
        <f>IF(I111&lt;&gt;"",VLOOKUP(I111,'Test Item'!C:H,3,0),"")</f>
        <v/>
      </c>
      <c r="L111" s="3" t="str">
        <f>IF(I111&lt;&gt;"",VLOOKUP(I111,'Test Item'!C:H,4,0),"")</f>
        <v/>
      </c>
      <c r="M111" s="46"/>
      <c r="N111" s="51"/>
      <c r="O111"/>
      <c r="P111" s="51"/>
    </row>
    <row r="112" spans="1:16" s="9" customFormat="1" x14ac:dyDescent="0.3">
      <c r="A112" s="33" t="s">
        <v>434</v>
      </c>
      <c r="B112" s="16" t="s">
        <v>265</v>
      </c>
      <c r="C112" s="16" t="s">
        <v>266</v>
      </c>
      <c r="D112" s="16"/>
      <c r="E112" s="17">
        <v>40</v>
      </c>
      <c r="F112" s="16"/>
      <c r="G112" s="39" t="s">
        <v>98</v>
      </c>
      <c r="H112" s="47" t="s">
        <v>3</v>
      </c>
      <c r="I112" s="68" t="s">
        <v>267</v>
      </c>
      <c r="J112" s="3">
        <f>IF(I112&lt;&gt;"",VLOOKUP(I112,'Test Item'!C:H,2,0),"")</f>
        <v>30</v>
      </c>
      <c r="K112" s="3">
        <f>IF(I112&lt;&gt;"",VLOOKUP(I112,'Test Item'!C:H,3,0),"")</f>
        <v>64</v>
      </c>
      <c r="L112" s="3" t="str">
        <f>IF(I112&lt;&gt;"",VLOOKUP(I112,'Test Item'!C:H,4,0),"")</f>
        <v>Ohm</v>
      </c>
      <c r="M112" s="46"/>
      <c r="N112" s="51"/>
      <c r="O112"/>
      <c r="P112" s="51"/>
    </row>
    <row r="113" spans="1:16" s="9" customFormat="1" ht="15" customHeight="1" x14ac:dyDescent="0.3">
      <c r="A113" s="94" t="s">
        <v>268</v>
      </c>
      <c r="B113" s="95"/>
      <c r="C113" s="95"/>
      <c r="D113" s="95"/>
      <c r="E113" s="95"/>
      <c r="F113" s="95"/>
      <c r="G113" s="96"/>
      <c r="H113" s="47"/>
      <c r="I113" s="68"/>
      <c r="J113" s="3" t="str">
        <f>IF(I113&lt;&gt;"",VLOOKUP(I113,'Test Item'!C:H,2,0),"")</f>
        <v/>
      </c>
      <c r="K113" s="3" t="str">
        <f>IF(I113&lt;&gt;"",VLOOKUP(I113,'Test Item'!C:H,3,0),"")</f>
        <v/>
      </c>
      <c r="L113" s="3" t="str">
        <f>IF(I113&lt;&gt;"",VLOOKUP(I113,'Test Item'!C:H,4,0),"")</f>
        <v/>
      </c>
      <c r="M113" s="46"/>
      <c r="N113" s="51"/>
      <c r="O113"/>
      <c r="P113" s="51"/>
    </row>
    <row r="114" spans="1:16" s="9" customFormat="1" ht="22.5" customHeight="1" x14ac:dyDescent="0.3">
      <c r="A114" s="30" t="s">
        <v>435</v>
      </c>
      <c r="B114" s="16" t="s">
        <v>269</v>
      </c>
      <c r="C114" s="18" t="s">
        <v>270</v>
      </c>
      <c r="D114" s="17">
        <v>0</v>
      </c>
      <c r="E114" s="17"/>
      <c r="F114" s="17">
        <v>2</v>
      </c>
      <c r="G114" s="39" t="s">
        <v>8</v>
      </c>
      <c r="H114" s="47" t="s">
        <v>3</v>
      </c>
      <c r="I114" s="68" t="s">
        <v>1617</v>
      </c>
      <c r="J114" s="3">
        <f>IF(I114&lt;&gt;"",VLOOKUP(I114,'Test Item'!C:H,2,0),"")</f>
        <v>5.5</v>
      </c>
      <c r="K114" s="3">
        <f>IF(I114&lt;&gt;"",VLOOKUP(I114,'Test Item'!C:H,3,0),"")</f>
        <v>6</v>
      </c>
      <c r="L114" s="3" t="str">
        <f>IF(I114&lt;&gt;"",VLOOKUP(I114,'Test Item'!C:H,4,0),"")</f>
        <v>pct</v>
      </c>
      <c r="M114" s="46" t="s">
        <v>1618</v>
      </c>
      <c r="N114" s="51"/>
      <c r="O114"/>
      <c r="P114" s="51"/>
    </row>
    <row r="115" spans="1:16" s="9" customFormat="1" x14ac:dyDescent="0.3">
      <c r="A115" s="30" t="s">
        <v>436</v>
      </c>
      <c r="B115" s="18" t="s">
        <v>437</v>
      </c>
      <c r="C115" s="18" t="s">
        <v>271</v>
      </c>
      <c r="D115" s="17"/>
      <c r="E115" s="17">
        <v>5.7099999999999998E-2</v>
      </c>
      <c r="F115" s="17"/>
      <c r="G115" s="39"/>
      <c r="H115" s="47" t="s">
        <v>3</v>
      </c>
      <c r="I115" s="68" t="s">
        <v>1617</v>
      </c>
      <c r="J115" s="3">
        <f>IF(I115&lt;&gt;"",VLOOKUP(I115,'Test Item'!C:H,2,0),"")</f>
        <v>5.5</v>
      </c>
      <c r="K115" s="3">
        <f>IF(I115&lt;&gt;"",VLOOKUP(I115,'Test Item'!C:H,3,0),"")</f>
        <v>6</v>
      </c>
      <c r="L115" s="3" t="str">
        <f>IF(I115&lt;&gt;"",VLOOKUP(I115,'Test Item'!C:H,4,0),"")</f>
        <v>pct</v>
      </c>
      <c r="M115" s="46"/>
      <c r="N115" s="51"/>
      <c r="O115"/>
      <c r="P115" s="51"/>
    </row>
    <row r="116" spans="1:16" s="9" customFormat="1" ht="15.75" customHeight="1" x14ac:dyDescent="0.3">
      <c r="A116" s="94" t="s">
        <v>273</v>
      </c>
      <c r="B116" s="95"/>
      <c r="C116" s="95"/>
      <c r="D116" s="95"/>
      <c r="E116" s="95"/>
      <c r="F116" s="95"/>
      <c r="G116" s="96"/>
      <c r="H116" s="47"/>
      <c r="I116" s="68"/>
      <c r="J116" s="3" t="str">
        <f>IF(I116&lt;&gt;"",VLOOKUP(I116,'Test Item'!C:H,2,0),"")</f>
        <v/>
      </c>
      <c r="K116" s="3" t="str">
        <f>IF(I116&lt;&gt;"",VLOOKUP(I116,'Test Item'!C:H,3,0),"")</f>
        <v/>
      </c>
      <c r="L116" s="3" t="str">
        <f>IF(I116&lt;&gt;"",VLOOKUP(I116,'Test Item'!C:H,4,0),"")</f>
        <v/>
      </c>
      <c r="M116" s="46"/>
      <c r="N116" s="51"/>
      <c r="O116"/>
      <c r="P116" s="51"/>
    </row>
    <row r="117" spans="1:16" s="9" customFormat="1" x14ac:dyDescent="0.3">
      <c r="A117" s="30" t="s">
        <v>438</v>
      </c>
      <c r="B117" s="16" t="s">
        <v>274</v>
      </c>
      <c r="C117" s="18" t="s">
        <v>275</v>
      </c>
      <c r="D117" s="17">
        <v>0</v>
      </c>
      <c r="E117" s="17"/>
      <c r="F117" s="17">
        <v>2</v>
      </c>
      <c r="G117" s="39" t="s">
        <v>8</v>
      </c>
      <c r="H117" s="47" t="s">
        <v>3</v>
      </c>
      <c r="I117" s="68" t="s">
        <v>277</v>
      </c>
      <c r="J117" s="3">
        <f>IF(I117&lt;&gt;"",VLOOKUP(I117,'Test Item'!C:H,2,0),"")</f>
        <v>30</v>
      </c>
      <c r="K117" s="3">
        <f>IF(I117&lt;&gt;"",VLOOKUP(I117,'Test Item'!C:H,3,0),"")</f>
        <v>35</v>
      </c>
      <c r="L117" s="3" t="str">
        <f>IF(I117&lt;&gt;"",VLOOKUP(I117,'Test Item'!C:H,4,0),"")</f>
        <v>pct</v>
      </c>
      <c r="M117" s="46" t="s">
        <v>1619</v>
      </c>
      <c r="N117" s="51"/>
      <c r="O117"/>
      <c r="P117" s="51"/>
    </row>
    <row r="118" spans="1:16" s="9" customFormat="1" x14ac:dyDescent="0.3">
      <c r="A118" s="30" t="s">
        <v>436</v>
      </c>
      <c r="B118" s="18" t="s">
        <v>439</v>
      </c>
      <c r="C118" s="18" t="s">
        <v>276</v>
      </c>
      <c r="D118" s="17"/>
      <c r="E118" s="17">
        <v>0.33</v>
      </c>
      <c r="F118" s="17"/>
      <c r="G118" s="39"/>
      <c r="H118" s="47" t="s">
        <v>3</v>
      </c>
      <c r="I118" s="68" t="s">
        <v>277</v>
      </c>
      <c r="J118" s="3">
        <f>IF(I118&lt;&gt;"",VLOOKUP(I118,'Test Item'!C:H,2,0),"")</f>
        <v>30</v>
      </c>
      <c r="K118" s="3">
        <f>IF(I118&lt;&gt;"",VLOOKUP(I118,'Test Item'!C:H,3,0),"")</f>
        <v>35</v>
      </c>
      <c r="L118" s="3" t="str">
        <f>IF(I118&lt;&gt;"",VLOOKUP(I118,'Test Item'!C:H,4,0),"")</f>
        <v>pct</v>
      </c>
      <c r="M118" s="46"/>
      <c r="N118" s="51"/>
      <c r="O118"/>
      <c r="P118" s="51"/>
    </row>
    <row r="119" spans="1:16" s="9" customFormat="1" ht="15.75" customHeight="1" x14ac:dyDescent="0.3">
      <c r="A119" s="119" t="s">
        <v>278</v>
      </c>
      <c r="B119" s="120"/>
      <c r="C119" s="120"/>
      <c r="D119" s="120"/>
      <c r="E119" s="120"/>
      <c r="F119" s="120"/>
      <c r="G119" s="121"/>
      <c r="H119" s="47"/>
      <c r="I119" s="68"/>
      <c r="J119" s="3" t="str">
        <f>IF(I119&lt;&gt;"",VLOOKUP(I119,'Test Item'!C:H,2,0),"")</f>
        <v/>
      </c>
      <c r="K119" s="3" t="str">
        <f>IF(I119&lt;&gt;"",VLOOKUP(I119,'Test Item'!C:H,3,0),"")</f>
        <v/>
      </c>
      <c r="L119" s="3" t="str">
        <f>IF(I119&lt;&gt;"",VLOOKUP(I119,'Test Item'!C:H,4,0),"")</f>
        <v/>
      </c>
      <c r="M119" s="46"/>
      <c r="N119" s="51"/>
      <c r="O119"/>
      <c r="P119" s="51"/>
    </row>
    <row r="120" spans="1:16" s="9" customFormat="1" ht="33.75" customHeight="1" x14ac:dyDescent="0.3">
      <c r="A120" s="30" t="s">
        <v>440</v>
      </c>
      <c r="B120" s="18" t="s">
        <v>279</v>
      </c>
      <c r="C120" s="18" t="s">
        <v>280</v>
      </c>
      <c r="D120" s="17">
        <v>0</v>
      </c>
      <c r="E120" s="17"/>
      <c r="F120" s="17">
        <v>2</v>
      </c>
      <c r="G120" s="39" t="s">
        <v>8</v>
      </c>
      <c r="H120" s="47" t="s">
        <v>3</v>
      </c>
      <c r="I120" s="68" t="s">
        <v>1620</v>
      </c>
      <c r="J120" s="3">
        <f>IF(I120&lt;&gt;"",VLOOKUP(I120,'Test Item'!C:H,2,0),"")</f>
        <v>0.42749999999999999</v>
      </c>
      <c r="K120" s="3">
        <f>IF(I120&lt;&gt;"",VLOOKUP(I120,'Test Item'!C:H,3,0),"")</f>
        <v>0.47249999999999998</v>
      </c>
      <c r="L120" s="3" t="str">
        <f>IF(I120&lt;&gt;"",VLOOKUP(I120,'Test Item'!C:H,4,0),"")</f>
        <v>V</v>
      </c>
      <c r="M120" s="46" t="s">
        <v>1621</v>
      </c>
      <c r="N120" s="51"/>
      <c r="O120"/>
      <c r="P120" s="51"/>
    </row>
    <row r="121" spans="1:16" s="9" customFormat="1" x14ac:dyDescent="0.3">
      <c r="A121" s="107" t="s">
        <v>441</v>
      </c>
      <c r="B121" s="108"/>
      <c r="C121" s="18" t="s">
        <v>442</v>
      </c>
      <c r="D121" s="17">
        <v>-25</v>
      </c>
      <c r="E121" s="17"/>
      <c r="F121" s="17">
        <v>25</v>
      </c>
      <c r="G121" s="110" t="s">
        <v>32</v>
      </c>
      <c r="H121" s="47" t="s">
        <v>3</v>
      </c>
      <c r="I121" s="68" t="s">
        <v>1620</v>
      </c>
      <c r="J121" s="3">
        <f>IF(I121&lt;&gt;"",VLOOKUP(I121,'Test Item'!C:H,2,0),"")</f>
        <v>0.42749999999999999</v>
      </c>
      <c r="K121" s="3">
        <f>IF(I121&lt;&gt;"",VLOOKUP(I121,'Test Item'!C:H,3,0),"")</f>
        <v>0.47249999999999998</v>
      </c>
      <c r="L121" s="3" t="str">
        <f>IF(I121&lt;&gt;"",VLOOKUP(I121,'Test Item'!C:H,4,0),"")</f>
        <v>V</v>
      </c>
      <c r="M121" s="46" t="s">
        <v>1611</v>
      </c>
      <c r="N121" s="51"/>
      <c r="O121"/>
      <c r="P121" s="51"/>
    </row>
    <row r="122" spans="1:16" s="9" customFormat="1" x14ac:dyDescent="0.3">
      <c r="A122" s="107"/>
      <c r="B122" s="108"/>
      <c r="C122" s="18" t="s">
        <v>281</v>
      </c>
      <c r="D122" s="17">
        <v>-10</v>
      </c>
      <c r="E122" s="17"/>
      <c r="F122" s="17">
        <v>10</v>
      </c>
      <c r="G122" s="110"/>
      <c r="H122" s="47" t="s">
        <v>1601</v>
      </c>
      <c r="I122" s="68"/>
      <c r="J122" s="3" t="str">
        <f>IF(I122&lt;&gt;"",VLOOKUP(I122,'Test Item'!C:H,2,0),"")</f>
        <v/>
      </c>
      <c r="K122" s="3" t="str">
        <f>IF(I122&lt;&gt;"",VLOOKUP(I122,'Test Item'!C:H,3,0),"")</f>
        <v/>
      </c>
      <c r="L122" s="3" t="str">
        <f>IF(I122&lt;&gt;"",VLOOKUP(I122,'Test Item'!C:H,4,0),"")</f>
        <v/>
      </c>
      <c r="N122" s="51"/>
      <c r="O122"/>
      <c r="P122" s="51"/>
    </row>
    <row r="123" spans="1:16" s="9" customFormat="1" x14ac:dyDescent="0.3">
      <c r="A123" s="30" t="s">
        <v>443</v>
      </c>
      <c r="B123" s="18" t="s">
        <v>439</v>
      </c>
      <c r="C123" s="18" t="s">
        <v>282</v>
      </c>
      <c r="D123" s="17"/>
      <c r="E123" s="17">
        <v>0.45</v>
      </c>
      <c r="F123" s="17"/>
      <c r="G123" s="39" t="s">
        <v>283</v>
      </c>
      <c r="H123" s="47" t="s">
        <v>3</v>
      </c>
      <c r="I123" s="68" t="s">
        <v>284</v>
      </c>
      <c r="J123" s="3">
        <f>IF(I123&lt;&gt;"",VLOOKUP(I123,'Test Item'!C:H,2,0),"")</f>
        <v>40</v>
      </c>
      <c r="K123" s="3">
        <f>IF(I123&lt;&gt;"",VLOOKUP(I123,'Test Item'!C:H,3,0),"")</f>
        <v>50</v>
      </c>
      <c r="L123" s="3" t="str">
        <f>IF(I123&lt;&gt;"",VLOOKUP(I123,'Test Item'!C:H,4,0),"")</f>
        <v>pct</v>
      </c>
      <c r="M123" s="46"/>
      <c r="N123" s="51"/>
      <c r="O123"/>
      <c r="P123" s="51"/>
    </row>
    <row r="124" spans="1:16" s="9" customFormat="1" x14ac:dyDescent="0.3">
      <c r="A124" s="94" t="s">
        <v>444</v>
      </c>
      <c r="B124" s="95"/>
      <c r="C124" s="95"/>
      <c r="D124" s="95"/>
      <c r="E124" s="95"/>
      <c r="F124" s="95"/>
      <c r="G124" s="96"/>
      <c r="H124" s="47" t="s">
        <v>3</v>
      </c>
      <c r="I124" s="68"/>
      <c r="J124" s="3" t="str">
        <f>IF(I124&lt;&gt;"",VLOOKUP(I124,'Test Item'!C:H,2,0),"")</f>
        <v/>
      </c>
      <c r="K124" s="3" t="str">
        <f>IF(I124&lt;&gt;"",VLOOKUP(I124,'Test Item'!C:H,3,0),"")</f>
        <v/>
      </c>
      <c r="L124" s="3" t="str">
        <f>IF(I124&lt;&gt;"",VLOOKUP(I124,'Test Item'!C:H,4,0),"")</f>
        <v/>
      </c>
      <c r="M124" s="46"/>
      <c r="N124" s="51"/>
      <c r="O124"/>
      <c r="P124" s="51"/>
    </row>
    <row r="125" spans="1:16" s="9" customFormat="1" x14ac:dyDescent="0.3">
      <c r="A125" s="32" t="s">
        <v>445</v>
      </c>
      <c r="B125" s="26" t="s">
        <v>285</v>
      </c>
      <c r="C125" s="21" t="s">
        <v>286</v>
      </c>
      <c r="D125" s="22">
        <v>1.2</v>
      </c>
      <c r="E125" s="22"/>
      <c r="F125" s="22"/>
      <c r="G125" s="39" t="s">
        <v>8</v>
      </c>
      <c r="H125" s="47" t="s">
        <v>3</v>
      </c>
      <c r="I125" s="68" t="s">
        <v>287</v>
      </c>
      <c r="J125" s="3">
        <f>IF(I125&lt;&gt;"",VLOOKUP(I125,'Test Item'!C:H,2,0),"")</f>
        <v>0.8</v>
      </c>
      <c r="K125" s="3">
        <f>IF(I125&lt;&gt;"",VLOOKUP(I125,'Test Item'!C:H,3,0),"")</f>
        <v>1</v>
      </c>
      <c r="L125" s="3" t="str">
        <f>IF(I125&lt;&gt;"",VLOOKUP(I125,'Test Item'!C:H,4,0),"")</f>
        <v>V</v>
      </c>
      <c r="M125" s="46"/>
      <c r="N125" s="51"/>
      <c r="O125"/>
      <c r="P125" s="51"/>
    </row>
    <row r="126" spans="1:16" s="9" customFormat="1" x14ac:dyDescent="0.3">
      <c r="A126" s="32" t="s">
        <v>446</v>
      </c>
      <c r="B126" s="26" t="s">
        <v>288</v>
      </c>
      <c r="C126" s="21" t="s">
        <v>286</v>
      </c>
      <c r="D126" s="22"/>
      <c r="E126" s="22"/>
      <c r="F126" s="22">
        <v>0.4</v>
      </c>
      <c r="G126" s="39" t="s">
        <v>8</v>
      </c>
      <c r="H126" s="47" t="s">
        <v>3</v>
      </c>
      <c r="I126" s="68" t="s">
        <v>289</v>
      </c>
      <c r="J126" s="3">
        <f>IF(I126&lt;&gt;"",VLOOKUP(I126,'Test Item'!C:H,2,0),"")</f>
        <v>0.5</v>
      </c>
      <c r="K126" s="3">
        <f>IF(I126&lt;&gt;"",VLOOKUP(I126,'Test Item'!C:H,3,0),"")</f>
        <v>0.8</v>
      </c>
      <c r="L126" s="3" t="str">
        <f>IF(I126&lt;&gt;"",VLOOKUP(I126,'Test Item'!C:H,4,0),"")</f>
        <v>V</v>
      </c>
      <c r="M126" s="46"/>
      <c r="N126" s="51"/>
      <c r="O126"/>
      <c r="P126" s="51"/>
    </row>
    <row r="127" spans="1:16" s="9" customFormat="1" x14ac:dyDescent="0.3">
      <c r="A127" s="32" t="s">
        <v>447</v>
      </c>
      <c r="B127" s="26" t="s">
        <v>111</v>
      </c>
      <c r="C127" s="21" t="s">
        <v>290</v>
      </c>
      <c r="D127" s="22"/>
      <c r="E127" s="17">
        <v>2.2000000000000002</v>
      </c>
      <c r="F127" s="22"/>
      <c r="G127" s="39" t="s">
        <v>113</v>
      </c>
      <c r="H127" s="47" t="s">
        <v>3</v>
      </c>
      <c r="I127" s="68" t="s">
        <v>291</v>
      </c>
      <c r="J127" s="3">
        <f>IF(I127&lt;&gt;"",VLOOKUP(I127,'Test Item'!C:H,2,0),"")</f>
        <v>1.8</v>
      </c>
      <c r="K127" s="3">
        <f>IF(I127&lt;&gt;"",VLOOKUP(I127,'Test Item'!C:H,3,0),"")</f>
        <v>2.6</v>
      </c>
      <c r="L127" s="3" t="str">
        <f>IF(I127&lt;&gt;"",VLOOKUP(I127,'Test Item'!C:H,4,0),"")</f>
        <v>kOhm</v>
      </c>
      <c r="M127" s="46"/>
      <c r="N127" s="51"/>
      <c r="O127"/>
      <c r="P127" s="51"/>
    </row>
    <row r="128" spans="1:16" s="9" customFormat="1" x14ac:dyDescent="0.3">
      <c r="A128" s="32" t="s">
        <v>448</v>
      </c>
      <c r="B128" s="26" t="s">
        <v>292</v>
      </c>
      <c r="C128" s="21" t="s">
        <v>293</v>
      </c>
      <c r="D128" s="22"/>
      <c r="E128" s="22"/>
      <c r="F128" s="22">
        <v>0.4</v>
      </c>
      <c r="G128" s="39" t="s">
        <v>8</v>
      </c>
      <c r="H128" s="47" t="s">
        <v>1601</v>
      </c>
      <c r="I128" s="68"/>
      <c r="J128" s="3" t="str">
        <f>IF(I128&lt;&gt;"",VLOOKUP(I128,'Test Item'!C:H,2,0),"")</f>
        <v/>
      </c>
      <c r="K128" s="3" t="str">
        <f>IF(I128&lt;&gt;"",VLOOKUP(I128,'Test Item'!C:H,3,0),"")</f>
        <v/>
      </c>
      <c r="L128" s="3" t="str">
        <f>IF(I128&lt;&gt;"",VLOOKUP(I128,'Test Item'!C:H,4,0),"")</f>
        <v/>
      </c>
      <c r="M128" s="46"/>
      <c r="N128" s="51" t="s">
        <v>1625</v>
      </c>
      <c r="O128"/>
      <c r="P128" s="51"/>
    </row>
    <row r="129" spans="1:16" s="9" customFormat="1" ht="14.5" thickBot="1" x14ac:dyDescent="0.35">
      <c r="A129" s="34" t="s">
        <v>449</v>
      </c>
      <c r="B129" s="35" t="s">
        <v>294</v>
      </c>
      <c r="C129" s="36"/>
      <c r="D129" s="37"/>
      <c r="E129" s="37"/>
      <c r="F129" s="37">
        <v>1000</v>
      </c>
      <c r="G129" s="41" t="s">
        <v>295</v>
      </c>
      <c r="H129" s="48" t="s">
        <v>3</v>
      </c>
      <c r="I129" s="71" t="s">
        <v>1622</v>
      </c>
      <c r="J129" s="3">
        <f>IF(I129&lt;&gt;"",VLOOKUP(I129,'Test Item'!C:H,2,0),"")</f>
        <v>0</v>
      </c>
      <c r="K129" s="3">
        <f>IF(I129&lt;&gt;"",VLOOKUP(I129,'Test Item'!C:H,3,0),"")</f>
        <v>0</v>
      </c>
      <c r="L129" s="3" t="str">
        <f>IF(I129&lt;&gt;"",VLOOKUP(I129,'Test Item'!C:H,4,0),"")</f>
        <v>DB</v>
      </c>
      <c r="M129" s="49" t="s">
        <v>1623</v>
      </c>
      <c r="N129" s="51"/>
      <c r="O129"/>
      <c r="P129" s="51"/>
    </row>
    <row r="131" spans="1:16" x14ac:dyDescent="0.3">
      <c r="A131" s="66" t="s">
        <v>1599</v>
      </c>
    </row>
    <row r="132" spans="1:16" x14ac:dyDescent="0.3">
      <c r="A132" s="66" t="s">
        <v>1600</v>
      </c>
    </row>
  </sheetData>
  <mergeCells count="66">
    <mergeCell ref="A121:A122"/>
    <mergeCell ref="B121:B122"/>
    <mergeCell ref="G121:G122"/>
    <mergeCell ref="A124:G124"/>
    <mergeCell ref="H3:M3"/>
    <mergeCell ref="A95:G95"/>
    <mergeCell ref="A104:G104"/>
    <mergeCell ref="A113:G113"/>
    <mergeCell ref="A116:G116"/>
    <mergeCell ref="A119:G119"/>
    <mergeCell ref="A65:G65"/>
    <mergeCell ref="A71:A72"/>
    <mergeCell ref="B71:B72"/>
    <mergeCell ref="A84:G84"/>
    <mergeCell ref="A86:A87"/>
    <mergeCell ref="B86:B87"/>
    <mergeCell ref="C86:C87"/>
    <mergeCell ref="D86:D87"/>
    <mergeCell ref="G86:G87"/>
    <mergeCell ref="G54:G55"/>
    <mergeCell ref="A56:A57"/>
    <mergeCell ref="B56:B57"/>
    <mergeCell ref="D56:D57"/>
    <mergeCell ref="E56:E57"/>
    <mergeCell ref="F56:F57"/>
    <mergeCell ref="G56:G57"/>
    <mergeCell ref="A54:A55"/>
    <mergeCell ref="B54:B55"/>
    <mergeCell ref="D54:D55"/>
    <mergeCell ref="E54:E55"/>
    <mergeCell ref="F54:F55"/>
    <mergeCell ref="G41:G42"/>
    <mergeCell ref="A51:A52"/>
    <mergeCell ref="B51:B52"/>
    <mergeCell ref="C51:C52"/>
    <mergeCell ref="D51:D52"/>
    <mergeCell ref="G51:G52"/>
    <mergeCell ref="A41:A42"/>
    <mergeCell ref="B41:B42"/>
    <mergeCell ref="D41:D42"/>
    <mergeCell ref="E41:E42"/>
    <mergeCell ref="F41:F42"/>
    <mergeCell ref="A48:G48"/>
    <mergeCell ref="A43:G43"/>
    <mergeCell ref="A26:G26"/>
    <mergeCell ref="A29:G29"/>
    <mergeCell ref="A34:G34"/>
    <mergeCell ref="A38:A40"/>
    <mergeCell ref="B38:B40"/>
    <mergeCell ref="C38:C40"/>
    <mergeCell ref="D38:D40"/>
    <mergeCell ref="F38:F40"/>
    <mergeCell ref="G38:G40"/>
    <mergeCell ref="A23:G23"/>
    <mergeCell ref="A24:A25"/>
    <mergeCell ref="B24:B25"/>
    <mergeCell ref="D24:D25"/>
    <mergeCell ref="E24:E25"/>
    <mergeCell ref="F24:F25"/>
    <mergeCell ref="G24:G25"/>
    <mergeCell ref="A5:G5"/>
    <mergeCell ref="A14:G14"/>
    <mergeCell ref="A20:G20"/>
    <mergeCell ref="A1:M1"/>
    <mergeCell ref="A2:M2"/>
    <mergeCell ref="A3:G3"/>
  </mergeCells>
  <phoneticPr fontId="3" type="noConversion"/>
  <conditionalFormatting sqref="H1:H1048576">
    <cfRule type="cellIs" dxfId="4" priority="1" operator="equal">
      <formula>"GBD"</formula>
    </cfRule>
    <cfRule type="cellIs" dxfId="3" priority="3" operator="equal">
      <formula>"Y"</formula>
    </cfRule>
    <cfRule type="cellIs" dxfId="2" priority="4" operator="equal">
      <formula>"N"</formula>
    </cfRule>
  </conditionalFormatting>
  <conditionalFormatting sqref="N1:O2 N5:O49 N50 N51:O1048576">
    <cfRule type="cellIs" dxfId="1" priority="2" operator="lessThan">
      <formula>0</formula>
    </cfRule>
  </conditionalFormatting>
  <conditionalFormatting sqref="P25:P129">
    <cfRule type="cellIs" dxfId="0" priority="6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7E7F-CF9C-43BE-A575-D3800054FB21}">
  <dimension ref="A1:J1214"/>
  <sheetViews>
    <sheetView tabSelected="1" zoomScaleNormal="100" workbookViewId="0">
      <selection activeCell="C21" sqref="C21"/>
    </sheetView>
  </sheetViews>
  <sheetFormatPr defaultColWidth="9" defaultRowHeight="13" x14ac:dyDescent="0.3"/>
  <cols>
    <col min="1" max="1" width="8.75" style="1" customWidth="1"/>
    <col min="2" max="2" width="8.25" style="1" bestFit="1" customWidth="1"/>
    <col min="3" max="3" width="31.08203125" style="1" bestFit="1" customWidth="1"/>
    <col min="4" max="5" width="9.25" style="1" customWidth="1"/>
    <col min="6" max="6" width="9" style="1" customWidth="1"/>
    <col min="7" max="8" width="9.33203125" style="1" customWidth="1"/>
    <col min="9" max="16384" width="9" style="1"/>
  </cols>
  <sheetData>
    <row r="1" spans="1:10" x14ac:dyDescent="0.3">
      <c r="A1" s="127"/>
      <c r="B1" s="127"/>
      <c r="C1" s="127"/>
      <c r="D1" s="127"/>
      <c r="E1" s="127"/>
      <c r="F1" s="127"/>
      <c r="G1" s="127"/>
      <c r="H1" s="127"/>
      <c r="I1" s="2"/>
      <c r="J1" s="2"/>
    </row>
    <row r="2" spans="1:10" ht="13.5" thickBot="1" x14ac:dyDescent="0.35">
      <c r="A2" s="128" t="s">
        <v>24</v>
      </c>
      <c r="B2" s="128"/>
      <c r="C2" s="128"/>
      <c r="D2" s="128"/>
      <c r="E2" s="128"/>
      <c r="F2" s="128"/>
      <c r="G2" s="128"/>
      <c r="H2" s="128"/>
      <c r="I2" s="2"/>
      <c r="J2" s="2"/>
    </row>
    <row r="3" spans="1:10" ht="23" thickBot="1" x14ac:dyDescent="0.35">
      <c r="A3" s="129" t="s">
        <v>1630</v>
      </c>
      <c r="B3" s="130"/>
      <c r="C3" s="130"/>
      <c r="D3" s="130"/>
      <c r="E3" s="130"/>
      <c r="F3" s="130"/>
      <c r="G3" s="130"/>
      <c r="H3" s="131"/>
      <c r="I3" s="2"/>
      <c r="J3" s="2"/>
    </row>
    <row r="4" spans="1:10" ht="31" customHeight="1" thickBot="1" x14ac:dyDescent="0.35">
      <c r="A4" s="132" t="s">
        <v>39</v>
      </c>
      <c r="B4" s="133"/>
      <c r="C4" s="134"/>
      <c r="D4" s="132" t="s">
        <v>38</v>
      </c>
      <c r="E4" s="134"/>
      <c r="F4" s="134"/>
      <c r="G4" s="134"/>
      <c r="H4" s="135"/>
      <c r="I4" s="2"/>
      <c r="J4" s="2"/>
    </row>
    <row r="5" spans="1:10" ht="14.5" thickBot="1" x14ac:dyDescent="0.35">
      <c r="A5" s="122" t="s">
        <v>1629</v>
      </c>
      <c r="B5" s="123"/>
      <c r="C5" s="123"/>
      <c r="D5" s="124">
        <v>46139</v>
      </c>
      <c r="E5" s="125"/>
      <c r="F5" s="125"/>
      <c r="G5" s="125"/>
      <c r="H5" s="126"/>
      <c r="I5" s="2"/>
      <c r="J5" s="2"/>
    </row>
    <row r="6" spans="1:10" s="7" customFormat="1" ht="14" x14ac:dyDescent="0.3">
      <c r="A6" s="4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6</v>
      </c>
      <c r="G6" s="5" t="s">
        <v>15</v>
      </c>
      <c r="H6" s="5" t="s">
        <v>16</v>
      </c>
      <c r="I6" s="6"/>
      <c r="J6" s="6"/>
    </row>
    <row r="7" spans="1:10" ht="14" x14ac:dyDescent="0.3">
      <c r="A7" s="3">
        <v>1</v>
      </c>
      <c r="B7" s="3">
        <v>1</v>
      </c>
      <c r="C7" s="11" t="s">
        <v>452</v>
      </c>
      <c r="D7" s="3">
        <v>0.9</v>
      </c>
      <c r="E7" s="3">
        <v>1.1000000000000001</v>
      </c>
      <c r="F7" s="3" t="s">
        <v>41</v>
      </c>
      <c r="G7" s="3">
        <v>5</v>
      </c>
      <c r="H7" s="3">
        <v>5</v>
      </c>
      <c r="I7" s="9"/>
    </row>
    <row r="8" spans="1:10" ht="14" x14ac:dyDescent="0.3">
      <c r="A8" s="3">
        <f>IF(B8=1, MAX(A7:A$7)+1, A7)</f>
        <v>1</v>
      </c>
      <c r="B8" s="3">
        <v>2</v>
      </c>
      <c r="C8" s="11" t="s">
        <v>453</v>
      </c>
      <c r="D8" s="3">
        <v>1</v>
      </c>
      <c r="E8" s="3">
        <v>8</v>
      </c>
      <c r="F8" s="3" t="s">
        <v>41</v>
      </c>
      <c r="G8" s="3">
        <v>5</v>
      </c>
      <c r="H8" s="3">
        <v>5</v>
      </c>
      <c r="I8" s="9"/>
    </row>
    <row r="9" spans="1:10" ht="14" x14ac:dyDescent="0.3">
      <c r="A9" s="3">
        <f>IF(B8=1, MAX(A$7:A8)+1, A8)</f>
        <v>1</v>
      </c>
      <c r="B9" s="3">
        <v>3</v>
      </c>
      <c r="C9" s="11" t="s">
        <v>454</v>
      </c>
      <c r="D9" s="3">
        <v>5083</v>
      </c>
      <c r="E9" s="3">
        <v>5083</v>
      </c>
      <c r="F9" s="3" t="s">
        <v>41</v>
      </c>
      <c r="G9" s="3">
        <v>5</v>
      </c>
      <c r="H9" s="3">
        <v>5</v>
      </c>
      <c r="I9" s="9"/>
    </row>
    <row r="10" spans="1:10" ht="14" x14ac:dyDescent="0.3">
      <c r="A10" s="3">
        <f>IF(B9=1, MAX(A$7:A9)+1, A9)</f>
        <v>1</v>
      </c>
      <c r="B10" s="3">
        <v>4</v>
      </c>
      <c r="C10" s="11" t="s">
        <v>455</v>
      </c>
      <c r="D10" s="3">
        <v>203</v>
      </c>
      <c r="E10" s="3">
        <v>203</v>
      </c>
      <c r="F10" s="3" t="s">
        <v>41</v>
      </c>
      <c r="G10" s="3">
        <v>5</v>
      </c>
      <c r="H10" s="3">
        <v>5</v>
      </c>
      <c r="I10" s="9"/>
    </row>
    <row r="11" spans="1:10" ht="14" x14ac:dyDescent="0.3">
      <c r="A11" s="3">
        <f>IF(B10=1, MAX(A$7:A10)+1, A10)</f>
        <v>1</v>
      </c>
      <c r="B11" s="3">
        <v>5</v>
      </c>
      <c r="C11" s="11" t="s">
        <v>456</v>
      </c>
      <c r="D11" s="3">
        <v>0</v>
      </c>
      <c r="E11" s="3">
        <v>0</v>
      </c>
      <c r="F11" s="3" t="s">
        <v>41</v>
      </c>
      <c r="G11" s="3">
        <v>5</v>
      </c>
      <c r="H11" s="3">
        <v>5</v>
      </c>
      <c r="I11" s="9"/>
    </row>
    <row r="12" spans="1:10" ht="14" x14ac:dyDescent="0.3">
      <c r="A12" s="3">
        <f>IF(B11=1, MAX(A$7:A11)+1, A11)</f>
        <v>1</v>
      </c>
      <c r="B12" s="3">
        <v>1</v>
      </c>
      <c r="C12" s="11" t="s">
        <v>43</v>
      </c>
      <c r="D12" s="3">
        <v>0</v>
      </c>
      <c r="E12" s="3">
        <v>0</v>
      </c>
      <c r="F12" s="3" t="s">
        <v>41</v>
      </c>
      <c r="G12" s="3">
        <v>6</v>
      </c>
      <c r="H12" s="3">
        <v>6</v>
      </c>
      <c r="I12" s="9"/>
    </row>
    <row r="13" spans="1:10" ht="14" x14ac:dyDescent="0.3">
      <c r="A13" s="3">
        <f>IF(B12=1, MAX(A$7:A12)+1, A12)</f>
        <v>2</v>
      </c>
      <c r="B13" s="3">
        <v>2</v>
      </c>
      <c r="C13" s="11" t="s">
        <v>44</v>
      </c>
      <c r="D13" s="3">
        <v>0</v>
      </c>
      <c r="E13" s="3">
        <v>0</v>
      </c>
      <c r="F13" s="3" t="s">
        <v>41</v>
      </c>
      <c r="G13" s="3">
        <v>5</v>
      </c>
      <c r="H13" s="3">
        <v>5</v>
      </c>
      <c r="I13" s="9"/>
    </row>
    <row r="14" spans="1:10" ht="14" x14ac:dyDescent="0.3">
      <c r="A14" s="3">
        <f>IF(B13=1, MAX(A$7:A13)+1, A13)</f>
        <v>2</v>
      </c>
      <c r="B14" s="3">
        <v>3</v>
      </c>
      <c r="C14" s="11" t="s">
        <v>45</v>
      </c>
      <c r="D14" s="3">
        <v>0</v>
      </c>
      <c r="E14" s="3">
        <v>0</v>
      </c>
      <c r="F14" s="3" t="s">
        <v>41</v>
      </c>
      <c r="G14" s="3">
        <v>5</v>
      </c>
      <c r="H14" s="3">
        <v>5</v>
      </c>
      <c r="I14" s="9"/>
    </row>
    <row r="15" spans="1:10" ht="14" x14ac:dyDescent="0.3">
      <c r="A15" s="3">
        <f>IF(B14=1, MAX(A$7:A14)+1, A14)</f>
        <v>2</v>
      </c>
      <c r="B15" s="3">
        <v>4</v>
      </c>
      <c r="C15" s="11" t="s">
        <v>457</v>
      </c>
      <c r="D15" s="3">
        <v>-0.67600000000000005</v>
      </c>
      <c r="E15" s="3">
        <v>-0.47599999999999998</v>
      </c>
      <c r="F15" s="3" t="s">
        <v>8</v>
      </c>
      <c r="G15" s="3">
        <v>5</v>
      </c>
      <c r="H15" s="3">
        <v>5</v>
      </c>
      <c r="I15" s="9"/>
    </row>
    <row r="16" spans="1:10" ht="14" x14ac:dyDescent="0.3">
      <c r="A16" s="3">
        <f>IF(B15=1, MAX(A$7:A15)+1, A15)</f>
        <v>2</v>
      </c>
      <c r="B16" s="3">
        <v>5</v>
      </c>
      <c r="C16" s="11" t="s">
        <v>458</v>
      </c>
      <c r="D16" s="3">
        <v>-0.72199999999999998</v>
      </c>
      <c r="E16" s="3">
        <v>-0.52200000000000002</v>
      </c>
      <c r="F16" s="3" t="s">
        <v>8</v>
      </c>
      <c r="G16" s="3">
        <v>5</v>
      </c>
      <c r="H16" s="3">
        <v>5</v>
      </c>
      <c r="I16" s="9"/>
    </row>
    <row r="17" spans="1:9" ht="14" x14ac:dyDescent="0.3">
      <c r="A17" s="3">
        <f>IF(B16=1, MAX(A$7:A16)+1, A16)</f>
        <v>2</v>
      </c>
      <c r="B17" s="3">
        <v>6</v>
      </c>
      <c r="C17" s="11" t="s">
        <v>459</v>
      </c>
      <c r="D17" s="3">
        <v>-0.72199999999999998</v>
      </c>
      <c r="E17" s="3">
        <v>-0.52200000000000002</v>
      </c>
      <c r="F17" s="3" t="s">
        <v>8</v>
      </c>
      <c r="G17" s="3">
        <v>5</v>
      </c>
      <c r="H17" s="3">
        <v>5</v>
      </c>
      <c r="I17" s="9"/>
    </row>
    <row r="18" spans="1:9" ht="14" x14ac:dyDescent="0.3">
      <c r="A18" s="3">
        <f>IF(B17=1, MAX(A$7:A17)+1, A17)</f>
        <v>2</v>
      </c>
      <c r="B18" s="3">
        <v>7</v>
      </c>
      <c r="C18" s="11" t="s">
        <v>460</v>
      </c>
      <c r="D18" s="3">
        <v>-0.72299999999999998</v>
      </c>
      <c r="E18" s="3">
        <v>-0.52300000000000002</v>
      </c>
      <c r="F18" s="3" t="s">
        <v>8</v>
      </c>
      <c r="G18" s="3">
        <v>5</v>
      </c>
      <c r="H18" s="3">
        <v>5</v>
      </c>
      <c r="I18" s="9"/>
    </row>
    <row r="19" spans="1:9" ht="14" x14ac:dyDescent="0.3">
      <c r="A19" s="3">
        <f>IF(B18=1, MAX(A$7:A18)+1, A18)</f>
        <v>2</v>
      </c>
      <c r="B19" s="3">
        <v>8</v>
      </c>
      <c r="C19" s="11" t="s">
        <v>461</v>
      </c>
      <c r="D19" s="3">
        <v>-0.72299999999999998</v>
      </c>
      <c r="E19" s="3">
        <v>-0.52300000000000002</v>
      </c>
      <c r="F19" s="3" t="s">
        <v>8</v>
      </c>
      <c r="G19" s="3">
        <v>5</v>
      </c>
      <c r="H19" s="3">
        <v>5</v>
      </c>
      <c r="I19" s="9"/>
    </row>
    <row r="20" spans="1:9" ht="14" x14ac:dyDescent="0.3">
      <c r="A20" s="3">
        <f>IF(B19=1, MAX(A$7:A19)+1, A19)</f>
        <v>2</v>
      </c>
      <c r="B20" s="3">
        <v>9</v>
      </c>
      <c r="C20" s="11" t="s">
        <v>462</v>
      </c>
      <c r="D20" s="3">
        <v>-0.72599999999999998</v>
      </c>
      <c r="E20" s="3">
        <v>-0.52600000000000002</v>
      </c>
      <c r="F20" s="3" t="s">
        <v>8</v>
      </c>
      <c r="G20" s="3">
        <v>5</v>
      </c>
      <c r="H20" s="3">
        <v>5</v>
      </c>
      <c r="I20" s="9"/>
    </row>
    <row r="21" spans="1:9" ht="14" x14ac:dyDescent="0.3">
      <c r="A21" s="3">
        <f>IF(B20=1, MAX(A$7:A20)+1, A20)</f>
        <v>2</v>
      </c>
      <c r="B21" s="3">
        <v>10</v>
      </c>
      <c r="C21" s="11" t="s">
        <v>463</v>
      </c>
      <c r="D21" s="3">
        <v>-0.75</v>
      </c>
      <c r="E21" s="3">
        <v>-0.55000000000000004</v>
      </c>
      <c r="F21" s="3" t="s">
        <v>8</v>
      </c>
      <c r="G21" s="3">
        <v>5</v>
      </c>
      <c r="H21" s="3">
        <v>5</v>
      </c>
      <c r="I21" s="9"/>
    </row>
    <row r="22" spans="1:9" ht="14" x14ac:dyDescent="0.3">
      <c r="A22" s="3">
        <f>IF(B21=1, MAX(A$7:A21)+1, A21)</f>
        <v>2</v>
      </c>
      <c r="B22" s="3">
        <v>11</v>
      </c>
      <c r="C22" s="11" t="s">
        <v>464</v>
      </c>
      <c r="D22" s="3">
        <v>-0.71799999999999997</v>
      </c>
      <c r="E22" s="3">
        <v>-0.51800000000000002</v>
      </c>
      <c r="F22" s="3" t="s">
        <v>8</v>
      </c>
      <c r="G22" s="3">
        <v>5</v>
      </c>
      <c r="H22" s="3">
        <v>5</v>
      </c>
      <c r="I22" s="9"/>
    </row>
    <row r="23" spans="1:9" ht="14" x14ac:dyDescent="0.3">
      <c r="A23" s="3">
        <f>IF(B22=1, MAX(A$7:A22)+1, A22)</f>
        <v>2</v>
      </c>
      <c r="B23" s="3">
        <v>12</v>
      </c>
      <c r="C23" s="11" t="s">
        <v>465</v>
      </c>
      <c r="D23" s="3">
        <v>-0.75</v>
      </c>
      <c r="E23" s="3">
        <v>-0.55000000000000004</v>
      </c>
      <c r="F23" s="3" t="s">
        <v>8</v>
      </c>
      <c r="G23" s="3">
        <v>5</v>
      </c>
      <c r="H23" s="3">
        <v>5</v>
      </c>
      <c r="I23" s="9"/>
    </row>
    <row r="24" spans="1:9" ht="14" x14ac:dyDescent="0.3">
      <c r="A24" s="3">
        <f>IF(B23=1, MAX(A$7:A23)+1, A23)</f>
        <v>2</v>
      </c>
      <c r="B24" s="3">
        <v>13</v>
      </c>
      <c r="C24" s="11" t="s">
        <v>466</v>
      </c>
      <c r="D24" s="3">
        <v>-0.751</v>
      </c>
      <c r="E24" s="3">
        <v>-0.55100000000000005</v>
      </c>
      <c r="F24" s="3" t="s">
        <v>8</v>
      </c>
      <c r="G24" s="3">
        <v>5</v>
      </c>
      <c r="H24" s="3">
        <v>5</v>
      </c>
      <c r="I24" s="9"/>
    </row>
    <row r="25" spans="1:9" ht="14" x14ac:dyDescent="0.3">
      <c r="A25" s="3">
        <f>IF(B24=1, MAX(A$7:A24)+1, A24)</f>
        <v>2</v>
      </c>
      <c r="B25" s="3">
        <v>14</v>
      </c>
      <c r="C25" s="11" t="s">
        <v>467</v>
      </c>
      <c r="D25" s="3">
        <v>-0.71599999999999997</v>
      </c>
      <c r="E25" s="3">
        <v>-0.51600000000000001</v>
      </c>
      <c r="F25" s="3" t="s">
        <v>8</v>
      </c>
      <c r="G25" s="3">
        <v>5</v>
      </c>
      <c r="H25" s="3">
        <v>5</v>
      </c>
      <c r="I25" s="9"/>
    </row>
    <row r="26" spans="1:9" ht="14" x14ac:dyDescent="0.3">
      <c r="A26" s="3">
        <f>IF(B25=1, MAX(A$7:A25)+1, A25)</f>
        <v>2</v>
      </c>
      <c r="B26" s="3">
        <v>15</v>
      </c>
      <c r="C26" s="11" t="s">
        <v>468</v>
      </c>
      <c r="D26" s="3">
        <v>-0.72</v>
      </c>
      <c r="E26" s="3">
        <v>-0.52</v>
      </c>
      <c r="F26" s="3" t="s">
        <v>8</v>
      </c>
      <c r="G26" s="3">
        <v>5</v>
      </c>
      <c r="H26" s="3">
        <v>5</v>
      </c>
      <c r="I26" s="9"/>
    </row>
    <row r="27" spans="1:9" ht="14" x14ac:dyDescent="0.3">
      <c r="A27" s="3">
        <f>IF(B26=1, MAX(A$7:A26)+1, A26)</f>
        <v>2</v>
      </c>
      <c r="B27" s="3">
        <v>16</v>
      </c>
      <c r="C27" s="11" t="s">
        <v>469</v>
      </c>
      <c r="D27" s="3">
        <v>-0.75</v>
      </c>
      <c r="E27" s="3">
        <v>-0.55000000000000004</v>
      </c>
      <c r="F27" s="3" t="s">
        <v>8</v>
      </c>
      <c r="G27" s="3">
        <v>5</v>
      </c>
      <c r="H27" s="3">
        <v>5</v>
      </c>
      <c r="I27" s="9"/>
    </row>
    <row r="28" spans="1:9" ht="14" x14ac:dyDescent="0.3">
      <c r="A28" s="3">
        <f>IF(B27=1, MAX(A$7:A27)+1, A27)</f>
        <v>2</v>
      </c>
      <c r="B28" s="3">
        <v>17</v>
      </c>
      <c r="C28" s="11" t="s">
        <v>46</v>
      </c>
      <c r="D28" s="3">
        <v>-0.72499999999999998</v>
      </c>
      <c r="E28" s="3">
        <v>-0.52500000000000002</v>
      </c>
      <c r="F28" s="3" t="s">
        <v>8</v>
      </c>
      <c r="G28" s="3">
        <v>5</v>
      </c>
      <c r="H28" s="3">
        <v>5</v>
      </c>
      <c r="I28" s="9"/>
    </row>
    <row r="29" spans="1:9" ht="14" x14ac:dyDescent="0.3">
      <c r="A29" s="3">
        <f>IF(B28=1, MAX(A$7:A28)+1, A28)</f>
        <v>2</v>
      </c>
      <c r="B29" s="3">
        <v>18</v>
      </c>
      <c r="C29" s="11" t="s">
        <v>470</v>
      </c>
      <c r="D29" s="3">
        <v>-0.751</v>
      </c>
      <c r="E29" s="3">
        <v>-0.55100000000000005</v>
      </c>
      <c r="F29" s="3" t="s">
        <v>8</v>
      </c>
      <c r="G29" s="3">
        <v>5</v>
      </c>
      <c r="H29" s="3">
        <v>5</v>
      </c>
      <c r="I29" s="9"/>
    </row>
    <row r="30" spans="1:9" ht="14" x14ac:dyDescent="0.3">
      <c r="A30" s="3">
        <f>IF(B29=1, MAX(A$7:A29)+1, A29)</f>
        <v>2</v>
      </c>
      <c r="B30" s="3">
        <v>19</v>
      </c>
      <c r="C30" s="11" t="s">
        <v>471</v>
      </c>
      <c r="D30" s="3">
        <v>-0.68500000000000005</v>
      </c>
      <c r="E30" s="3">
        <v>-0.48499999999999999</v>
      </c>
      <c r="F30" s="3" t="s">
        <v>8</v>
      </c>
      <c r="G30" s="3">
        <v>5</v>
      </c>
      <c r="H30" s="3">
        <v>5</v>
      </c>
      <c r="I30" s="9"/>
    </row>
    <row r="31" spans="1:9" ht="14" x14ac:dyDescent="0.3">
      <c r="A31" s="3">
        <f>IF(B30=1, MAX(A$7:A30)+1, A30)</f>
        <v>2</v>
      </c>
      <c r="B31" s="3">
        <v>20</v>
      </c>
      <c r="C31" s="11" t="s">
        <v>472</v>
      </c>
      <c r="D31" s="3">
        <v>-0.72499999999999998</v>
      </c>
      <c r="E31" s="3">
        <v>-0.52500000000000002</v>
      </c>
      <c r="F31" s="3" t="s">
        <v>8</v>
      </c>
      <c r="G31" s="3">
        <v>5</v>
      </c>
      <c r="H31" s="3">
        <v>5</v>
      </c>
      <c r="I31" s="9"/>
    </row>
    <row r="32" spans="1:9" ht="14" x14ac:dyDescent="0.3">
      <c r="A32" s="3">
        <f>IF(B31=1, MAX(A$7:A31)+1, A31)</f>
        <v>2</v>
      </c>
      <c r="B32" s="3">
        <v>21</v>
      </c>
      <c r="C32" s="11" t="s">
        <v>473</v>
      </c>
      <c r="D32" s="3">
        <v>-0.68899999999999995</v>
      </c>
      <c r="E32" s="3">
        <v>-0.48899999999999999</v>
      </c>
      <c r="F32" s="3" t="s">
        <v>8</v>
      </c>
      <c r="G32" s="3">
        <v>5</v>
      </c>
      <c r="H32" s="3">
        <v>5</v>
      </c>
      <c r="I32" s="9"/>
    </row>
    <row r="33" spans="1:9" ht="14" x14ac:dyDescent="0.3">
      <c r="A33" s="3">
        <f>IF(B32=1, MAX(A$7:A32)+1, A32)</f>
        <v>2</v>
      </c>
      <c r="B33" s="3">
        <v>22</v>
      </c>
      <c r="C33" s="11" t="s">
        <v>474</v>
      </c>
      <c r="D33" s="3">
        <v>-0.67</v>
      </c>
      <c r="E33" s="3">
        <v>-0.47</v>
      </c>
      <c r="F33" s="3" t="s">
        <v>8</v>
      </c>
      <c r="G33" s="3">
        <v>5</v>
      </c>
      <c r="H33" s="3">
        <v>5</v>
      </c>
      <c r="I33" s="9"/>
    </row>
    <row r="34" spans="1:9" ht="14" x14ac:dyDescent="0.3">
      <c r="A34" s="3">
        <f>IF(B33=1, MAX(A$7:A33)+1, A33)</f>
        <v>2</v>
      </c>
      <c r="B34" s="3">
        <v>23</v>
      </c>
      <c r="C34" s="11" t="s">
        <v>475</v>
      </c>
      <c r="D34" s="3">
        <v>-0.72199999999999998</v>
      </c>
      <c r="E34" s="3">
        <v>-0.52200000000000002</v>
      </c>
      <c r="F34" s="3" t="s">
        <v>8</v>
      </c>
      <c r="G34" s="3">
        <v>5</v>
      </c>
      <c r="H34" s="3">
        <v>5</v>
      </c>
      <c r="I34" s="9"/>
    </row>
    <row r="35" spans="1:9" ht="14" x14ac:dyDescent="0.3">
      <c r="A35" s="3">
        <f>IF(B34=1, MAX(A$7:A34)+1, A34)</f>
        <v>2</v>
      </c>
      <c r="B35" s="3">
        <v>24</v>
      </c>
      <c r="C35" s="11" t="s">
        <v>476</v>
      </c>
      <c r="D35" s="3">
        <v>-0.72199999999999998</v>
      </c>
      <c r="E35" s="3">
        <v>-0.52200000000000002</v>
      </c>
      <c r="F35" s="3" t="s">
        <v>8</v>
      </c>
      <c r="G35" s="3">
        <v>5</v>
      </c>
      <c r="H35" s="3">
        <v>5</v>
      </c>
      <c r="I35" s="9"/>
    </row>
    <row r="36" spans="1:9" ht="14" x14ac:dyDescent="0.3">
      <c r="A36" s="3">
        <f>IF(B35=1, MAX(A$7:A35)+1, A35)</f>
        <v>2</v>
      </c>
      <c r="B36" s="3">
        <v>25</v>
      </c>
      <c r="C36" s="11" t="s">
        <v>477</v>
      </c>
      <c r="D36" s="3">
        <v>-0.72299999999999998</v>
      </c>
      <c r="E36" s="3">
        <v>-0.52300000000000002</v>
      </c>
      <c r="F36" s="3" t="s">
        <v>8</v>
      </c>
      <c r="G36" s="3">
        <v>5</v>
      </c>
      <c r="H36" s="3">
        <v>5</v>
      </c>
      <c r="I36" s="9"/>
    </row>
    <row r="37" spans="1:9" ht="14" x14ac:dyDescent="0.3">
      <c r="A37" s="3">
        <f>IF(B36=1, MAX(A$7:A36)+1, A36)</f>
        <v>2</v>
      </c>
      <c r="B37" s="3">
        <v>26</v>
      </c>
      <c r="C37" s="11" t="s">
        <v>478</v>
      </c>
      <c r="D37" s="3">
        <v>-0.72299999999999998</v>
      </c>
      <c r="E37" s="3">
        <v>-0.52300000000000002</v>
      </c>
      <c r="F37" s="3" t="s">
        <v>8</v>
      </c>
      <c r="G37" s="3">
        <v>5</v>
      </c>
      <c r="H37" s="3">
        <v>5</v>
      </c>
      <c r="I37" s="9"/>
    </row>
    <row r="38" spans="1:9" ht="14" x14ac:dyDescent="0.3">
      <c r="A38" s="3">
        <f>IF(B37=1, MAX(A$7:A37)+1, A37)</f>
        <v>2</v>
      </c>
      <c r="B38" s="3">
        <v>27</v>
      </c>
      <c r="C38" s="11" t="s">
        <v>479</v>
      </c>
      <c r="D38" s="3">
        <v>-0.72499999999999998</v>
      </c>
      <c r="E38" s="3">
        <v>-0.52500000000000002</v>
      </c>
      <c r="F38" s="3" t="s">
        <v>8</v>
      </c>
      <c r="G38" s="3">
        <v>5</v>
      </c>
      <c r="H38" s="3">
        <v>5</v>
      </c>
      <c r="I38" s="9"/>
    </row>
    <row r="39" spans="1:9" ht="14" x14ac:dyDescent="0.3">
      <c r="A39" s="3">
        <f>IF(B38=1, MAX(A$7:A38)+1, A38)</f>
        <v>2</v>
      </c>
      <c r="B39" s="3">
        <v>28</v>
      </c>
      <c r="C39" s="11" t="s">
        <v>480</v>
      </c>
      <c r="D39" s="3">
        <v>-0.75</v>
      </c>
      <c r="E39" s="3">
        <v>-0.55000000000000004</v>
      </c>
      <c r="F39" s="3" t="s">
        <v>8</v>
      </c>
      <c r="G39" s="3">
        <v>5</v>
      </c>
      <c r="H39" s="3">
        <v>5</v>
      </c>
      <c r="I39" s="9"/>
    </row>
    <row r="40" spans="1:9" ht="14" x14ac:dyDescent="0.3">
      <c r="A40" s="3">
        <f>IF(B39=1, MAX(A$7:A39)+1, A39)</f>
        <v>2</v>
      </c>
      <c r="B40" s="3">
        <v>29</v>
      </c>
      <c r="C40" s="11" t="s">
        <v>481</v>
      </c>
      <c r="D40" s="3">
        <v>-0.71599999999999997</v>
      </c>
      <c r="E40" s="3">
        <v>-0.51600000000000001</v>
      </c>
      <c r="F40" s="3" t="s">
        <v>8</v>
      </c>
      <c r="G40" s="3">
        <v>5</v>
      </c>
      <c r="H40" s="3">
        <v>5</v>
      </c>
      <c r="I40" s="9"/>
    </row>
    <row r="41" spans="1:9" ht="14" x14ac:dyDescent="0.3">
      <c r="A41" s="3">
        <f>IF(B40=1, MAX(A$7:A40)+1, A40)</f>
        <v>2</v>
      </c>
      <c r="B41" s="3">
        <v>30</v>
      </c>
      <c r="C41" s="11" t="s">
        <v>482</v>
      </c>
      <c r="D41" s="3">
        <v>-0.75</v>
      </c>
      <c r="E41" s="3">
        <v>-0.55000000000000004</v>
      </c>
      <c r="F41" s="3" t="s">
        <v>8</v>
      </c>
      <c r="G41" s="3">
        <v>5</v>
      </c>
      <c r="H41" s="3">
        <v>5</v>
      </c>
      <c r="I41" s="9"/>
    </row>
    <row r="42" spans="1:9" ht="14" x14ac:dyDescent="0.3">
      <c r="A42" s="3">
        <f>IF(B41=1, MAX(A$7:A41)+1, A41)</f>
        <v>2</v>
      </c>
      <c r="B42" s="3">
        <v>31</v>
      </c>
      <c r="C42" s="11" t="s">
        <v>483</v>
      </c>
      <c r="D42" s="3">
        <v>-0.751</v>
      </c>
      <c r="E42" s="3">
        <v>-0.55100000000000005</v>
      </c>
      <c r="F42" s="3" t="s">
        <v>8</v>
      </c>
      <c r="G42" s="3">
        <v>5</v>
      </c>
      <c r="H42" s="3">
        <v>5</v>
      </c>
      <c r="I42" s="9"/>
    </row>
    <row r="43" spans="1:9" ht="14" x14ac:dyDescent="0.3">
      <c r="A43" s="3">
        <f>IF(B42=1, MAX(A$7:A42)+1, A42)</f>
        <v>2</v>
      </c>
      <c r="B43" s="3">
        <v>32</v>
      </c>
      <c r="C43" s="11" t="s">
        <v>484</v>
      </c>
      <c r="D43" s="3">
        <v>-0.71499999999999997</v>
      </c>
      <c r="E43" s="3">
        <v>-0.51500000000000001</v>
      </c>
      <c r="F43" s="3" t="s">
        <v>8</v>
      </c>
      <c r="G43" s="3">
        <v>5</v>
      </c>
      <c r="H43" s="3">
        <v>5</v>
      </c>
      <c r="I43" s="9"/>
    </row>
    <row r="44" spans="1:9" ht="14" x14ac:dyDescent="0.3">
      <c r="A44" s="3">
        <f>IF(B43=1, MAX(A$7:A43)+1, A43)</f>
        <v>2</v>
      </c>
      <c r="B44" s="3">
        <v>33</v>
      </c>
      <c r="C44" s="11" t="s">
        <v>485</v>
      </c>
      <c r="D44" s="3">
        <v>-0.71599999999999997</v>
      </c>
      <c r="E44" s="3">
        <v>-0.51600000000000001</v>
      </c>
      <c r="F44" s="3" t="s">
        <v>8</v>
      </c>
      <c r="G44" s="3">
        <v>5</v>
      </c>
      <c r="H44" s="3">
        <v>5</v>
      </c>
      <c r="I44" s="9"/>
    </row>
    <row r="45" spans="1:9" ht="14" x14ac:dyDescent="0.3">
      <c r="A45" s="3">
        <f>IF(B44=1, MAX(A$7:A44)+1, A44)</f>
        <v>2</v>
      </c>
      <c r="B45" s="3">
        <v>34</v>
      </c>
      <c r="C45" s="11" t="s">
        <v>486</v>
      </c>
      <c r="D45" s="3">
        <v>-0.75</v>
      </c>
      <c r="E45" s="3">
        <v>-0.55000000000000004</v>
      </c>
      <c r="F45" s="3" t="s">
        <v>8</v>
      </c>
      <c r="G45" s="3">
        <v>5</v>
      </c>
      <c r="H45" s="3">
        <v>5</v>
      </c>
      <c r="I45" s="9"/>
    </row>
    <row r="46" spans="1:9" ht="14" x14ac:dyDescent="0.3">
      <c r="A46" s="3">
        <f>IF(B45=1, MAX(A$7:A45)+1, A45)</f>
        <v>2</v>
      </c>
      <c r="B46" s="3">
        <v>35</v>
      </c>
      <c r="C46" s="11" t="s">
        <v>487</v>
      </c>
      <c r="D46" s="3">
        <v>-0.68400000000000005</v>
      </c>
      <c r="E46" s="3">
        <v>-0.48399999999999999</v>
      </c>
      <c r="F46" s="3" t="s">
        <v>8</v>
      </c>
      <c r="G46" s="3">
        <v>5</v>
      </c>
      <c r="H46" s="3">
        <v>5</v>
      </c>
      <c r="I46" s="9"/>
    </row>
    <row r="47" spans="1:9" ht="14" x14ac:dyDescent="0.3">
      <c r="A47" s="3">
        <f>IF(B46=1, MAX(A$7:A46)+1, A46)</f>
        <v>2</v>
      </c>
      <c r="B47" s="3">
        <v>36</v>
      </c>
      <c r="C47" s="11" t="s">
        <v>488</v>
      </c>
      <c r="D47" s="3">
        <v>-0.72199999999999998</v>
      </c>
      <c r="E47" s="3">
        <v>-0.52200000000000002</v>
      </c>
      <c r="F47" s="3" t="s">
        <v>8</v>
      </c>
      <c r="G47" s="3">
        <v>5</v>
      </c>
      <c r="H47" s="3">
        <v>5</v>
      </c>
      <c r="I47" s="9"/>
    </row>
    <row r="48" spans="1:9" ht="14" x14ac:dyDescent="0.3">
      <c r="A48" s="3">
        <f>IF(B47=1, MAX(A$7:A47)+1, A47)</f>
        <v>2</v>
      </c>
      <c r="B48" s="3">
        <v>37</v>
      </c>
      <c r="C48" s="11" t="s">
        <v>489</v>
      </c>
      <c r="D48" s="3">
        <v>-0.68799999999999994</v>
      </c>
      <c r="E48" s="3">
        <v>-0.48799999999999999</v>
      </c>
      <c r="F48" s="3" t="s">
        <v>8</v>
      </c>
      <c r="G48" s="3">
        <v>5</v>
      </c>
      <c r="H48" s="3">
        <v>5</v>
      </c>
      <c r="I48" s="9"/>
    </row>
    <row r="49" spans="1:9" ht="14" x14ac:dyDescent="0.3">
      <c r="A49" s="3">
        <f>IF(B48=1, MAX(A$7:A48)+1, A48)</f>
        <v>2</v>
      </c>
      <c r="B49" s="3">
        <v>38</v>
      </c>
      <c r="C49" s="11" t="s">
        <v>490</v>
      </c>
      <c r="D49" s="3">
        <v>-0.72399999999999998</v>
      </c>
      <c r="E49" s="3">
        <v>-0.52400000000000002</v>
      </c>
      <c r="F49" s="3" t="s">
        <v>8</v>
      </c>
      <c r="G49" s="3">
        <v>5</v>
      </c>
      <c r="H49" s="3">
        <v>5</v>
      </c>
      <c r="I49" s="9"/>
    </row>
    <row r="50" spans="1:9" ht="14" x14ac:dyDescent="0.3">
      <c r="A50" s="3">
        <f>IF(B49=1, MAX(A$7:A49)+1, A49)</f>
        <v>2</v>
      </c>
      <c r="B50" s="3">
        <v>39</v>
      </c>
      <c r="C50" s="11" t="s">
        <v>491</v>
      </c>
      <c r="D50" s="3">
        <v>-0.61</v>
      </c>
      <c r="E50" s="3">
        <v>-0.31</v>
      </c>
      <c r="F50" s="3" t="s">
        <v>8</v>
      </c>
      <c r="G50" s="3">
        <v>5</v>
      </c>
      <c r="H50" s="3">
        <v>5</v>
      </c>
      <c r="I50" s="9"/>
    </row>
    <row r="51" spans="1:9" ht="14" x14ac:dyDescent="0.3">
      <c r="A51" s="3">
        <f>IF(B50=1, MAX(A$7:A50)+1, A50)</f>
        <v>2</v>
      </c>
      <c r="B51" s="3">
        <v>40</v>
      </c>
      <c r="C51" s="11" t="s">
        <v>29</v>
      </c>
      <c r="D51" s="3">
        <v>-0.79300000000000004</v>
      </c>
      <c r="E51" s="3">
        <v>-0.59299999999999997</v>
      </c>
      <c r="F51" s="3" t="s">
        <v>8</v>
      </c>
      <c r="G51" s="3">
        <v>5</v>
      </c>
      <c r="H51" s="3">
        <v>5</v>
      </c>
      <c r="I51" s="9"/>
    </row>
    <row r="52" spans="1:9" ht="14" x14ac:dyDescent="0.3">
      <c r="A52" s="3">
        <f>IF(B51=1, MAX(A$7:A51)+1, A51)</f>
        <v>2</v>
      </c>
      <c r="B52" s="3">
        <v>41</v>
      </c>
      <c r="C52" s="11" t="s">
        <v>28</v>
      </c>
      <c r="D52" s="3">
        <v>-0.74399999999999999</v>
      </c>
      <c r="E52" s="3">
        <v>-0.54400000000000004</v>
      </c>
      <c r="F52" s="3" t="s">
        <v>8</v>
      </c>
      <c r="G52" s="3">
        <v>5</v>
      </c>
      <c r="H52" s="3">
        <v>5</v>
      </c>
      <c r="I52" s="9"/>
    </row>
    <row r="53" spans="1:9" ht="14" x14ac:dyDescent="0.3">
      <c r="A53" s="3">
        <f>IF(B52=1, MAX(A$7:A52)+1, A52)</f>
        <v>2</v>
      </c>
      <c r="B53" s="3">
        <v>42</v>
      </c>
      <c r="C53" s="11" t="s">
        <v>492</v>
      </c>
      <c r="D53" s="3">
        <v>-0.82</v>
      </c>
      <c r="E53" s="3">
        <v>-0.62</v>
      </c>
      <c r="F53" s="3" t="s">
        <v>8</v>
      </c>
      <c r="G53" s="3">
        <v>5</v>
      </c>
      <c r="H53" s="3">
        <v>5</v>
      </c>
      <c r="I53" s="9"/>
    </row>
    <row r="54" spans="1:9" ht="14" x14ac:dyDescent="0.3">
      <c r="A54" s="3">
        <f>IF(B53=1, MAX(A$7:A53)+1, A53)</f>
        <v>2</v>
      </c>
      <c r="B54" s="3">
        <v>43</v>
      </c>
      <c r="C54" s="11" t="s">
        <v>493</v>
      </c>
      <c r="D54" s="3">
        <v>-0.63700000000000001</v>
      </c>
      <c r="E54" s="3">
        <v>-0.437</v>
      </c>
      <c r="F54" s="3" t="s">
        <v>8</v>
      </c>
      <c r="G54" s="3">
        <v>5</v>
      </c>
      <c r="H54" s="3">
        <v>5</v>
      </c>
      <c r="I54" s="9"/>
    </row>
    <row r="55" spans="1:9" ht="14" x14ac:dyDescent="0.3">
      <c r="A55" s="3">
        <f>IF(B54=1, MAX(A$7:A54)+1, A54)</f>
        <v>2</v>
      </c>
      <c r="B55" s="3">
        <v>44</v>
      </c>
      <c r="C55" s="11" t="s">
        <v>494</v>
      </c>
      <c r="D55" s="3">
        <v>-0.64500000000000002</v>
      </c>
      <c r="E55" s="3">
        <v>-0.44500000000000001</v>
      </c>
      <c r="F55" s="3" t="s">
        <v>8</v>
      </c>
      <c r="G55" s="3">
        <v>5</v>
      </c>
      <c r="H55" s="3">
        <v>5</v>
      </c>
      <c r="I55" s="9"/>
    </row>
    <row r="56" spans="1:9" ht="14" x14ac:dyDescent="0.3">
      <c r="A56" s="3">
        <f>IF(B55=1, MAX(A$7:A55)+1, A55)</f>
        <v>2</v>
      </c>
      <c r="B56" s="3">
        <v>45</v>
      </c>
      <c r="C56" s="11" t="s">
        <v>495</v>
      </c>
      <c r="D56" s="3">
        <v>-0.74099999999999999</v>
      </c>
      <c r="E56" s="3">
        <v>-0.54100000000000004</v>
      </c>
      <c r="F56" s="3" t="s">
        <v>8</v>
      </c>
      <c r="G56" s="3">
        <v>5</v>
      </c>
      <c r="H56" s="3">
        <v>5</v>
      </c>
      <c r="I56" s="9"/>
    </row>
    <row r="57" spans="1:9" ht="14" x14ac:dyDescent="0.3">
      <c r="A57" s="3">
        <f>IF(B56=1, MAX(A$7:A56)+1, A56)</f>
        <v>2</v>
      </c>
      <c r="B57" s="3">
        <v>46</v>
      </c>
      <c r="C57" s="11" t="s">
        <v>496</v>
      </c>
      <c r="D57" s="3">
        <v>-0.74099999999999999</v>
      </c>
      <c r="E57" s="3">
        <v>-0.54100000000000004</v>
      </c>
      <c r="F57" s="3" t="s">
        <v>8</v>
      </c>
      <c r="G57" s="3">
        <v>5</v>
      </c>
      <c r="H57" s="3">
        <v>5</v>
      </c>
      <c r="I57" s="9"/>
    </row>
    <row r="58" spans="1:9" ht="14" x14ac:dyDescent="0.3">
      <c r="A58" s="3">
        <f>IF(B57=1, MAX(A$7:A57)+1, A57)</f>
        <v>2</v>
      </c>
      <c r="B58" s="3">
        <v>47</v>
      </c>
      <c r="C58" s="11" t="s">
        <v>497</v>
      </c>
      <c r="D58" s="3">
        <v>-0.74299999999999999</v>
      </c>
      <c r="E58" s="3">
        <v>-0.54300000000000004</v>
      </c>
      <c r="F58" s="3" t="s">
        <v>8</v>
      </c>
      <c r="G58" s="3">
        <v>5</v>
      </c>
      <c r="H58" s="3">
        <v>5</v>
      </c>
      <c r="I58" s="9"/>
    </row>
    <row r="59" spans="1:9" ht="14" x14ac:dyDescent="0.3">
      <c r="A59" s="3">
        <f>IF(B58=1, MAX(A$7:A58)+1, A58)</f>
        <v>2</v>
      </c>
      <c r="B59" s="3">
        <v>48</v>
      </c>
      <c r="C59" s="11" t="s">
        <v>498</v>
      </c>
      <c r="D59" s="3">
        <v>-0.74099999999999999</v>
      </c>
      <c r="E59" s="3">
        <v>-0.54100000000000004</v>
      </c>
      <c r="F59" s="3" t="s">
        <v>8</v>
      </c>
      <c r="G59" s="3">
        <v>5</v>
      </c>
      <c r="H59" s="3">
        <v>5</v>
      </c>
      <c r="I59" s="9"/>
    </row>
    <row r="60" spans="1:9" ht="14" x14ac:dyDescent="0.3">
      <c r="A60" s="3">
        <f>IF(B59=1, MAX(A$7:A59)+1, A59)</f>
        <v>2</v>
      </c>
      <c r="B60" s="3">
        <v>1</v>
      </c>
      <c r="C60" s="11" t="s">
        <v>499</v>
      </c>
      <c r="D60" s="3">
        <v>1.5</v>
      </c>
      <c r="E60" s="3">
        <v>3.5</v>
      </c>
      <c r="F60" s="3" t="s">
        <v>18</v>
      </c>
      <c r="G60" s="3">
        <v>7</v>
      </c>
      <c r="H60" s="3">
        <v>7</v>
      </c>
      <c r="I60" s="9"/>
    </row>
    <row r="61" spans="1:9" ht="14" x14ac:dyDescent="0.3">
      <c r="A61" s="3">
        <f>IF(B60=1, MAX(A$7:A60)+1, A60)</f>
        <v>3</v>
      </c>
      <c r="B61" s="3">
        <v>2</v>
      </c>
      <c r="C61" s="11" t="s">
        <v>500</v>
      </c>
      <c r="D61" s="3">
        <v>-0.01</v>
      </c>
      <c r="E61" s="3">
        <v>0.4</v>
      </c>
      <c r="F61" s="3" t="s">
        <v>18</v>
      </c>
      <c r="G61" s="3">
        <v>7</v>
      </c>
      <c r="H61" s="3">
        <v>7</v>
      </c>
      <c r="I61" s="9"/>
    </row>
    <row r="62" spans="1:9" ht="14" x14ac:dyDescent="0.3">
      <c r="A62" s="3">
        <f>IF(B61=1, MAX(A$7:A61)+1, A61)</f>
        <v>3</v>
      </c>
      <c r="B62" s="3">
        <v>3</v>
      </c>
      <c r="C62" s="11" t="s">
        <v>501</v>
      </c>
      <c r="D62" s="3">
        <v>-0.01</v>
      </c>
      <c r="E62" s="3">
        <v>0.4</v>
      </c>
      <c r="F62" s="3" t="s">
        <v>18</v>
      </c>
      <c r="G62" s="3">
        <v>7</v>
      </c>
      <c r="H62" s="3">
        <v>7</v>
      </c>
      <c r="I62" s="9"/>
    </row>
    <row r="63" spans="1:9" ht="14" x14ac:dyDescent="0.3">
      <c r="A63" s="3">
        <f>IF(B62=1, MAX(A$7:A62)+1, A62)</f>
        <v>3</v>
      </c>
      <c r="B63" s="3">
        <v>4</v>
      </c>
      <c r="C63" s="11" t="s">
        <v>502</v>
      </c>
      <c r="D63" s="3">
        <v>-0.01</v>
      </c>
      <c r="E63" s="3">
        <v>0.4</v>
      </c>
      <c r="F63" s="3" t="s">
        <v>18</v>
      </c>
      <c r="G63" s="3">
        <v>7</v>
      </c>
      <c r="H63" s="3">
        <v>7</v>
      </c>
      <c r="I63" s="9"/>
    </row>
    <row r="64" spans="1:9" ht="14" x14ac:dyDescent="0.3">
      <c r="A64" s="3">
        <f>IF(B63=1, MAX(A$7:A63)+1, A63)</f>
        <v>3</v>
      </c>
      <c r="B64" s="3">
        <v>5</v>
      </c>
      <c r="C64" s="11" t="s">
        <v>503</v>
      </c>
      <c r="D64" s="3">
        <v>-0.01</v>
      </c>
      <c r="E64" s="3">
        <v>0.4</v>
      </c>
      <c r="F64" s="3" t="s">
        <v>18</v>
      </c>
      <c r="G64" s="3">
        <v>7</v>
      </c>
      <c r="H64" s="3">
        <v>7</v>
      </c>
      <c r="I64" s="9"/>
    </row>
    <row r="65" spans="1:9" ht="14" x14ac:dyDescent="0.3">
      <c r="A65" s="3">
        <f>IF(B64=1, MAX(A$7:A64)+1, A64)</f>
        <v>3</v>
      </c>
      <c r="B65" s="3">
        <v>6</v>
      </c>
      <c r="C65" s="11" t="s">
        <v>504</v>
      </c>
      <c r="D65" s="3">
        <v>-0.1</v>
      </c>
      <c r="E65" s="3">
        <v>0.1</v>
      </c>
      <c r="F65" s="3" t="s">
        <v>18</v>
      </c>
      <c r="G65" s="3">
        <v>7</v>
      </c>
      <c r="H65" s="3">
        <v>7</v>
      </c>
      <c r="I65" s="9"/>
    </row>
    <row r="66" spans="1:9" ht="14" x14ac:dyDescent="0.3">
      <c r="A66" s="3">
        <f>IF(B65=1, MAX(A$7:A65)+1, A65)</f>
        <v>3</v>
      </c>
      <c r="B66" s="3">
        <v>7</v>
      </c>
      <c r="C66" s="11" t="s">
        <v>505</v>
      </c>
      <c r="D66" s="3">
        <v>-0.01</v>
      </c>
      <c r="E66" s="3">
        <v>0.4</v>
      </c>
      <c r="F66" s="3" t="s">
        <v>18</v>
      </c>
      <c r="G66" s="3">
        <v>7</v>
      </c>
      <c r="H66" s="3">
        <v>7</v>
      </c>
      <c r="I66" s="9"/>
    </row>
    <row r="67" spans="1:9" ht="14" x14ac:dyDescent="0.3">
      <c r="A67" s="3">
        <f>IF(B66=1, MAX(A$7:A66)+1, A66)</f>
        <v>3</v>
      </c>
      <c r="B67" s="3">
        <v>8</v>
      </c>
      <c r="C67" s="11" t="s">
        <v>506</v>
      </c>
      <c r="D67" s="3">
        <v>-0.1</v>
      </c>
      <c r="E67" s="3">
        <v>0.1</v>
      </c>
      <c r="F67" s="3" t="s">
        <v>18</v>
      </c>
      <c r="G67" s="3">
        <v>7</v>
      </c>
      <c r="H67" s="3">
        <v>7</v>
      </c>
      <c r="I67" s="9"/>
    </row>
    <row r="68" spans="1:9" ht="14" x14ac:dyDescent="0.3">
      <c r="A68" s="3">
        <f>IF(B67=1, MAX(A$7:A67)+1, A67)</f>
        <v>3</v>
      </c>
      <c r="B68" s="3">
        <v>9</v>
      </c>
      <c r="C68" s="11" t="s">
        <v>507</v>
      </c>
      <c r="D68" s="3">
        <v>-0.01</v>
      </c>
      <c r="E68" s="3">
        <v>0.4</v>
      </c>
      <c r="F68" s="3" t="s">
        <v>18</v>
      </c>
      <c r="G68" s="3">
        <v>7</v>
      </c>
      <c r="H68" s="3">
        <v>7</v>
      </c>
      <c r="I68" s="9"/>
    </row>
    <row r="69" spans="1:9" ht="14" x14ac:dyDescent="0.3">
      <c r="A69" s="3">
        <f>IF(B68=1, MAX(A$7:A68)+1, A68)</f>
        <v>3</v>
      </c>
      <c r="B69" s="3">
        <v>10</v>
      </c>
      <c r="C69" s="11" t="s">
        <v>508</v>
      </c>
      <c r="D69" s="3">
        <v>-0.1</v>
      </c>
      <c r="E69" s="3">
        <v>0.1</v>
      </c>
      <c r="F69" s="3" t="s">
        <v>18</v>
      </c>
      <c r="G69" s="3">
        <v>7</v>
      </c>
      <c r="H69" s="3">
        <v>7</v>
      </c>
      <c r="I69" s="9"/>
    </row>
    <row r="70" spans="1:9" ht="14" x14ac:dyDescent="0.3">
      <c r="A70" s="3">
        <f>IF(B69=1, MAX(A$7:A69)+1, A69)</f>
        <v>3</v>
      </c>
      <c r="B70" s="3">
        <v>11</v>
      </c>
      <c r="C70" s="11" t="s">
        <v>509</v>
      </c>
      <c r="D70" s="3">
        <v>-0.1</v>
      </c>
      <c r="E70" s="3">
        <v>0.1</v>
      </c>
      <c r="F70" s="3" t="s">
        <v>18</v>
      </c>
      <c r="G70" s="3">
        <v>7</v>
      </c>
      <c r="H70" s="3">
        <v>7</v>
      </c>
      <c r="I70" s="9"/>
    </row>
    <row r="71" spans="1:9" ht="14" x14ac:dyDescent="0.3">
      <c r="A71" s="3">
        <f>IF(B70=1, MAX(A$7:A70)+1, A70)</f>
        <v>3</v>
      </c>
      <c r="B71" s="3">
        <v>12</v>
      </c>
      <c r="C71" s="11" t="s">
        <v>510</v>
      </c>
      <c r="D71" s="3">
        <v>-0.1</v>
      </c>
      <c r="E71" s="3">
        <v>0.1</v>
      </c>
      <c r="F71" s="3" t="s">
        <v>18</v>
      </c>
      <c r="G71" s="3">
        <v>7</v>
      </c>
      <c r="H71" s="3">
        <v>7</v>
      </c>
      <c r="I71" s="9"/>
    </row>
    <row r="72" spans="1:9" ht="14" x14ac:dyDescent="0.3">
      <c r="A72" s="3">
        <f>IF(B71=1, MAX(A$7:A71)+1, A71)</f>
        <v>3</v>
      </c>
      <c r="B72" s="3">
        <v>13</v>
      </c>
      <c r="C72" s="11" t="s">
        <v>511</v>
      </c>
      <c r="D72" s="3">
        <v>-0.1</v>
      </c>
      <c r="E72" s="3">
        <v>0.1</v>
      </c>
      <c r="F72" s="3" t="s">
        <v>18</v>
      </c>
      <c r="G72" s="3">
        <v>7</v>
      </c>
      <c r="H72" s="3">
        <v>7</v>
      </c>
      <c r="I72" s="9"/>
    </row>
    <row r="73" spans="1:9" ht="14" x14ac:dyDescent="0.3">
      <c r="A73" s="3">
        <f>IF(B72=1, MAX(A$7:A72)+1, A72)</f>
        <v>3</v>
      </c>
      <c r="B73" s="3">
        <v>14</v>
      </c>
      <c r="C73" s="11" t="s">
        <v>47</v>
      </c>
      <c r="D73" s="3">
        <v>-0.1</v>
      </c>
      <c r="E73" s="3">
        <v>0.1</v>
      </c>
      <c r="F73" s="3" t="s">
        <v>18</v>
      </c>
      <c r="G73" s="3">
        <v>7</v>
      </c>
      <c r="H73" s="3">
        <v>7</v>
      </c>
      <c r="I73" s="9"/>
    </row>
    <row r="74" spans="1:9" ht="14" x14ac:dyDescent="0.3">
      <c r="A74" s="3">
        <f>IF(B73=1, MAX(A$7:A73)+1, A73)</f>
        <v>3</v>
      </c>
      <c r="B74" s="3">
        <v>15</v>
      </c>
      <c r="C74" s="11" t="s">
        <v>512</v>
      </c>
      <c r="D74" s="3">
        <v>-0.1</v>
      </c>
      <c r="E74" s="3">
        <v>0.1</v>
      </c>
      <c r="F74" s="3" t="s">
        <v>18</v>
      </c>
      <c r="G74" s="3">
        <v>7</v>
      </c>
      <c r="H74" s="3">
        <v>7</v>
      </c>
      <c r="I74" s="9"/>
    </row>
    <row r="75" spans="1:9" ht="14" x14ac:dyDescent="0.3">
      <c r="A75" s="3">
        <f>IF(B74=1, MAX(A$7:A74)+1, A74)</f>
        <v>3</v>
      </c>
      <c r="B75" s="3">
        <v>16</v>
      </c>
      <c r="C75" s="11" t="s">
        <v>513</v>
      </c>
      <c r="D75" s="3">
        <v>-0.1</v>
      </c>
      <c r="E75" s="3">
        <v>0.1</v>
      </c>
      <c r="F75" s="3" t="s">
        <v>18</v>
      </c>
      <c r="G75" s="3">
        <v>7</v>
      </c>
      <c r="H75" s="3">
        <v>7</v>
      </c>
      <c r="I75" s="9"/>
    </row>
    <row r="76" spans="1:9" ht="14" x14ac:dyDescent="0.3">
      <c r="A76" s="3">
        <f>IF(B75=1, MAX(A$7:A75)+1, A75)</f>
        <v>3</v>
      </c>
      <c r="B76" s="3">
        <v>17</v>
      </c>
      <c r="C76" s="11" t="s">
        <v>514</v>
      </c>
      <c r="D76" s="3">
        <v>-0.1</v>
      </c>
      <c r="E76" s="3">
        <v>0.1</v>
      </c>
      <c r="F76" s="3" t="s">
        <v>18</v>
      </c>
      <c r="G76" s="3">
        <v>7</v>
      </c>
      <c r="H76" s="3">
        <v>7</v>
      </c>
      <c r="I76" s="9"/>
    </row>
    <row r="77" spans="1:9" ht="14" x14ac:dyDescent="0.3">
      <c r="A77" s="3">
        <f>IF(B76=1, MAX(A$7:A76)+1, A76)</f>
        <v>3</v>
      </c>
      <c r="B77" s="3">
        <v>18</v>
      </c>
      <c r="C77" s="11" t="s">
        <v>515</v>
      </c>
      <c r="D77" s="3">
        <v>-0.1</v>
      </c>
      <c r="E77" s="3">
        <v>0.1</v>
      </c>
      <c r="F77" s="3" t="s">
        <v>18</v>
      </c>
      <c r="G77" s="3">
        <v>7</v>
      </c>
      <c r="H77" s="3">
        <v>7</v>
      </c>
      <c r="I77" s="9"/>
    </row>
    <row r="78" spans="1:9" ht="14" x14ac:dyDescent="0.3">
      <c r="A78" s="3">
        <f>IF(B77=1, MAX(A$7:A77)+1, A77)</f>
        <v>3</v>
      </c>
      <c r="B78" s="3">
        <v>19</v>
      </c>
      <c r="C78" s="11" t="s">
        <v>516</v>
      </c>
      <c r="D78" s="3">
        <v>1.5</v>
      </c>
      <c r="E78" s="3">
        <v>3.5</v>
      </c>
      <c r="F78" s="3" t="s">
        <v>18</v>
      </c>
      <c r="G78" s="3">
        <v>7</v>
      </c>
      <c r="H78" s="3">
        <v>7</v>
      </c>
      <c r="I78" s="9"/>
    </row>
    <row r="79" spans="1:9" ht="14" x14ac:dyDescent="0.3">
      <c r="A79" s="3">
        <f>IF(B78=1, MAX(A$7:A78)+1, A78)</f>
        <v>3</v>
      </c>
      <c r="B79" s="3">
        <v>20</v>
      </c>
      <c r="C79" s="11" t="s">
        <v>517</v>
      </c>
      <c r="D79" s="3">
        <v>-0.01</v>
      </c>
      <c r="E79" s="3">
        <v>0.4</v>
      </c>
      <c r="F79" s="3" t="s">
        <v>18</v>
      </c>
      <c r="G79" s="3">
        <v>7</v>
      </c>
      <c r="H79" s="3">
        <v>7</v>
      </c>
      <c r="I79" s="9"/>
    </row>
    <row r="80" spans="1:9" ht="14" x14ac:dyDescent="0.3">
      <c r="A80" s="3">
        <f>IF(B79=1, MAX(A$7:A79)+1, A79)</f>
        <v>3</v>
      </c>
      <c r="B80" s="3">
        <v>21</v>
      </c>
      <c r="C80" s="11" t="s">
        <v>518</v>
      </c>
      <c r="D80" s="3">
        <v>-0.01</v>
      </c>
      <c r="E80" s="3">
        <v>0.4</v>
      </c>
      <c r="F80" s="3" t="s">
        <v>18</v>
      </c>
      <c r="G80" s="3">
        <v>7</v>
      </c>
      <c r="H80" s="3">
        <v>7</v>
      </c>
      <c r="I80" s="9"/>
    </row>
    <row r="81" spans="1:9" ht="14" x14ac:dyDescent="0.3">
      <c r="A81" s="3">
        <f>IF(B80=1, MAX(A$7:A80)+1, A80)</f>
        <v>3</v>
      </c>
      <c r="B81" s="3">
        <v>22</v>
      </c>
      <c r="C81" s="11" t="s">
        <v>519</v>
      </c>
      <c r="D81" s="3">
        <v>-0.01</v>
      </c>
      <c r="E81" s="3">
        <v>0.4</v>
      </c>
      <c r="F81" s="3" t="s">
        <v>18</v>
      </c>
      <c r="G81" s="3">
        <v>7</v>
      </c>
      <c r="H81" s="3">
        <v>7</v>
      </c>
      <c r="I81" s="9"/>
    </row>
    <row r="82" spans="1:9" ht="14" x14ac:dyDescent="0.3">
      <c r="A82" s="3">
        <f>IF(B81=1, MAX(A$7:A81)+1, A81)</f>
        <v>3</v>
      </c>
      <c r="B82" s="3">
        <v>23</v>
      </c>
      <c r="C82" s="11" t="s">
        <v>520</v>
      </c>
      <c r="D82" s="3">
        <v>-0.01</v>
      </c>
      <c r="E82" s="3">
        <v>0.4</v>
      </c>
      <c r="F82" s="3" t="s">
        <v>18</v>
      </c>
      <c r="G82" s="3">
        <v>7</v>
      </c>
      <c r="H82" s="3">
        <v>7</v>
      </c>
      <c r="I82" s="9"/>
    </row>
    <row r="83" spans="1:9" ht="14" x14ac:dyDescent="0.3">
      <c r="A83" s="3">
        <f>IF(B82=1, MAX(A$7:A82)+1, A82)</f>
        <v>3</v>
      </c>
      <c r="B83" s="3">
        <v>24</v>
      </c>
      <c r="C83" s="11" t="s">
        <v>521</v>
      </c>
      <c r="D83" s="3">
        <v>-0.1</v>
      </c>
      <c r="E83" s="3">
        <v>0.1</v>
      </c>
      <c r="F83" s="3" t="s">
        <v>18</v>
      </c>
      <c r="G83" s="3">
        <v>7</v>
      </c>
      <c r="H83" s="3">
        <v>7</v>
      </c>
      <c r="I83" s="9"/>
    </row>
    <row r="84" spans="1:9" ht="14" x14ac:dyDescent="0.3">
      <c r="A84" s="3">
        <f>IF(B83=1, MAX(A$7:A83)+1, A83)</f>
        <v>3</v>
      </c>
      <c r="B84" s="3">
        <v>25</v>
      </c>
      <c r="C84" s="11" t="s">
        <v>522</v>
      </c>
      <c r="D84" s="3">
        <v>-0.01</v>
      </c>
      <c r="E84" s="3">
        <v>0.4</v>
      </c>
      <c r="F84" s="3" t="s">
        <v>18</v>
      </c>
      <c r="G84" s="3">
        <v>7</v>
      </c>
      <c r="H84" s="3">
        <v>7</v>
      </c>
      <c r="I84" s="9"/>
    </row>
    <row r="85" spans="1:9" ht="14" x14ac:dyDescent="0.3">
      <c r="A85" s="3">
        <f>IF(B84=1, MAX(A$7:A84)+1, A84)</f>
        <v>3</v>
      </c>
      <c r="B85" s="3">
        <v>26</v>
      </c>
      <c r="C85" s="11" t="s">
        <v>523</v>
      </c>
      <c r="D85" s="3">
        <v>-0.1</v>
      </c>
      <c r="E85" s="3">
        <v>0.1</v>
      </c>
      <c r="F85" s="3" t="s">
        <v>18</v>
      </c>
      <c r="G85" s="3">
        <v>7</v>
      </c>
      <c r="H85" s="3">
        <v>7</v>
      </c>
      <c r="I85" s="9"/>
    </row>
    <row r="86" spans="1:9" ht="14" x14ac:dyDescent="0.3">
      <c r="A86" s="3">
        <f>IF(B85=1, MAX(A$7:A85)+1, A85)</f>
        <v>3</v>
      </c>
      <c r="B86" s="3">
        <v>27</v>
      </c>
      <c r="C86" s="11" t="s">
        <v>524</v>
      </c>
      <c r="D86" s="3">
        <v>-0.01</v>
      </c>
      <c r="E86" s="3">
        <v>0.4</v>
      </c>
      <c r="F86" s="3" t="s">
        <v>18</v>
      </c>
      <c r="G86" s="3">
        <v>7</v>
      </c>
      <c r="H86" s="3">
        <v>7</v>
      </c>
      <c r="I86" s="9"/>
    </row>
    <row r="87" spans="1:9" ht="14" x14ac:dyDescent="0.3">
      <c r="A87" s="3">
        <f>IF(B86=1, MAX(A$7:A86)+1, A86)</f>
        <v>3</v>
      </c>
      <c r="B87" s="3">
        <v>28</v>
      </c>
      <c r="C87" s="11" t="s">
        <v>525</v>
      </c>
      <c r="D87" s="3">
        <v>-0.1</v>
      </c>
      <c r="E87" s="3">
        <v>0.1</v>
      </c>
      <c r="F87" s="3" t="s">
        <v>18</v>
      </c>
      <c r="G87" s="3">
        <v>7</v>
      </c>
      <c r="H87" s="3">
        <v>7</v>
      </c>
      <c r="I87" s="9"/>
    </row>
    <row r="88" spans="1:9" ht="14" x14ac:dyDescent="0.3">
      <c r="A88" s="3">
        <f>IF(B87=1, MAX(A$7:A87)+1, A87)</f>
        <v>3</v>
      </c>
      <c r="B88" s="3">
        <v>29</v>
      </c>
      <c r="C88" s="11" t="s">
        <v>526</v>
      </c>
      <c r="D88" s="3">
        <v>-0.1</v>
      </c>
      <c r="E88" s="3">
        <v>0.1</v>
      </c>
      <c r="F88" s="3" t="s">
        <v>18</v>
      </c>
      <c r="G88" s="3">
        <v>7</v>
      </c>
      <c r="H88" s="3">
        <v>7</v>
      </c>
      <c r="I88" s="9"/>
    </row>
    <row r="89" spans="1:9" ht="14" x14ac:dyDescent="0.3">
      <c r="A89" s="3">
        <f>IF(B88=1, MAX(A$7:A88)+1, A88)</f>
        <v>3</v>
      </c>
      <c r="B89" s="3">
        <v>30</v>
      </c>
      <c r="C89" s="11" t="s">
        <v>527</v>
      </c>
      <c r="D89" s="3">
        <v>-0.1</v>
      </c>
      <c r="E89" s="3">
        <v>0.1</v>
      </c>
      <c r="F89" s="3" t="s">
        <v>18</v>
      </c>
      <c r="G89" s="3">
        <v>7</v>
      </c>
      <c r="H89" s="3">
        <v>7</v>
      </c>
      <c r="I89" s="9"/>
    </row>
    <row r="90" spans="1:9" ht="14" x14ac:dyDescent="0.3">
      <c r="A90" s="3">
        <f>IF(B89=1, MAX(A$7:A89)+1, A89)</f>
        <v>3</v>
      </c>
      <c r="B90" s="3">
        <v>31</v>
      </c>
      <c r="C90" s="11" t="s">
        <v>528</v>
      </c>
      <c r="D90" s="3">
        <v>-0.1</v>
      </c>
      <c r="E90" s="3">
        <v>0.1</v>
      </c>
      <c r="F90" s="3" t="s">
        <v>18</v>
      </c>
      <c r="G90" s="3">
        <v>7</v>
      </c>
      <c r="H90" s="3">
        <v>7</v>
      </c>
      <c r="I90" s="9"/>
    </row>
    <row r="91" spans="1:9" ht="14" x14ac:dyDescent="0.3">
      <c r="A91" s="3">
        <f>IF(B90=1, MAX(A$7:A90)+1, A90)</f>
        <v>3</v>
      </c>
      <c r="B91" s="3">
        <v>32</v>
      </c>
      <c r="C91" s="11" t="s">
        <v>529</v>
      </c>
      <c r="D91" s="3">
        <v>-0.1</v>
      </c>
      <c r="E91" s="3">
        <v>0.1</v>
      </c>
      <c r="F91" s="3" t="s">
        <v>18</v>
      </c>
      <c r="G91" s="3">
        <v>7</v>
      </c>
      <c r="H91" s="3">
        <v>7</v>
      </c>
      <c r="I91" s="9"/>
    </row>
    <row r="92" spans="1:9" ht="14" x14ac:dyDescent="0.3">
      <c r="A92" s="3">
        <f>IF(B91=1, MAX(A$7:A91)+1, A91)</f>
        <v>3</v>
      </c>
      <c r="B92" s="3">
        <v>33</v>
      </c>
      <c r="C92" s="11" t="s">
        <v>530</v>
      </c>
      <c r="D92" s="3">
        <v>-0.1</v>
      </c>
      <c r="E92" s="3">
        <v>0.1</v>
      </c>
      <c r="F92" s="3" t="s">
        <v>18</v>
      </c>
      <c r="G92" s="3">
        <v>7</v>
      </c>
      <c r="H92" s="3">
        <v>7</v>
      </c>
      <c r="I92" s="9"/>
    </row>
    <row r="93" spans="1:9" ht="14" x14ac:dyDescent="0.3">
      <c r="A93" s="3">
        <f>IF(B92=1, MAX(A$7:A92)+1, A92)</f>
        <v>3</v>
      </c>
      <c r="B93" s="3">
        <v>34</v>
      </c>
      <c r="C93" s="11" t="s">
        <v>531</v>
      </c>
      <c r="D93" s="3">
        <v>-0.1</v>
      </c>
      <c r="E93" s="3">
        <v>0.1</v>
      </c>
      <c r="F93" s="3" t="s">
        <v>18</v>
      </c>
      <c r="G93" s="3">
        <v>7</v>
      </c>
      <c r="H93" s="3">
        <v>7</v>
      </c>
      <c r="I93" s="9"/>
    </row>
    <row r="94" spans="1:9" ht="14" x14ac:dyDescent="0.3">
      <c r="A94" s="3">
        <f>IF(B93=1, MAX(A$7:A93)+1, A93)</f>
        <v>3</v>
      </c>
      <c r="B94" s="3">
        <v>35</v>
      </c>
      <c r="C94" s="11" t="s">
        <v>532</v>
      </c>
      <c r="D94" s="3">
        <v>-0.01</v>
      </c>
      <c r="E94" s="3">
        <v>0.3</v>
      </c>
      <c r="F94" s="3" t="s">
        <v>18</v>
      </c>
      <c r="G94" s="3">
        <v>7</v>
      </c>
      <c r="H94" s="3">
        <v>7</v>
      </c>
      <c r="I94" s="9"/>
    </row>
    <row r="95" spans="1:9" ht="14" x14ac:dyDescent="0.3">
      <c r="A95" s="3">
        <f>IF(B94=1, MAX(A$7:A94)+1, A94)</f>
        <v>3</v>
      </c>
      <c r="B95" s="3">
        <v>36</v>
      </c>
      <c r="C95" s="11" t="s">
        <v>533</v>
      </c>
      <c r="D95" s="3">
        <v>-0.1</v>
      </c>
      <c r="E95" s="3">
        <v>0.1</v>
      </c>
      <c r="F95" s="3" t="s">
        <v>18</v>
      </c>
      <c r="G95" s="3">
        <v>7</v>
      </c>
      <c r="H95" s="3">
        <v>7</v>
      </c>
      <c r="I95" s="9"/>
    </row>
    <row r="96" spans="1:9" ht="14" x14ac:dyDescent="0.3">
      <c r="A96" s="3">
        <f>IF(B95=1, MAX(A$7:A95)+1, A95)</f>
        <v>3</v>
      </c>
      <c r="B96" s="3">
        <v>37</v>
      </c>
      <c r="C96" s="11" t="s">
        <v>31</v>
      </c>
      <c r="D96" s="3">
        <v>0.1</v>
      </c>
      <c r="E96" s="3">
        <v>0.8</v>
      </c>
      <c r="F96" s="3" t="s">
        <v>18</v>
      </c>
      <c r="G96" s="3">
        <v>7</v>
      </c>
      <c r="H96" s="3">
        <v>7</v>
      </c>
      <c r="I96" s="9"/>
    </row>
    <row r="97" spans="1:9" ht="14" x14ac:dyDescent="0.3">
      <c r="A97" s="3">
        <f>IF(B96=1, MAX(A$7:A96)+1, A96)</f>
        <v>3</v>
      </c>
      <c r="B97" s="3">
        <v>38</v>
      </c>
      <c r="C97" s="11" t="s">
        <v>30</v>
      </c>
      <c r="D97" s="3">
        <v>0.1</v>
      </c>
      <c r="E97" s="3">
        <v>0.8</v>
      </c>
      <c r="F97" s="3" t="s">
        <v>18</v>
      </c>
      <c r="G97" s="3">
        <v>7</v>
      </c>
      <c r="H97" s="3">
        <v>7</v>
      </c>
      <c r="I97" s="9"/>
    </row>
    <row r="98" spans="1:9" ht="14" x14ac:dyDescent="0.3">
      <c r="A98" s="3">
        <f>IF(B97=1, MAX(A$7:A97)+1, A97)</f>
        <v>3</v>
      </c>
      <c r="B98" s="3">
        <v>39</v>
      </c>
      <c r="C98" s="11" t="s">
        <v>534</v>
      </c>
      <c r="D98" s="3">
        <v>0.1</v>
      </c>
      <c r="E98" s="3">
        <v>0.6</v>
      </c>
      <c r="F98" s="3" t="s">
        <v>18</v>
      </c>
      <c r="G98" s="3">
        <v>7</v>
      </c>
      <c r="H98" s="3">
        <v>7</v>
      </c>
      <c r="I98" s="9"/>
    </row>
    <row r="99" spans="1:9" ht="14" x14ac:dyDescent="0.3">
      <c r="A99" s="3">
        <f>IF(B98=1, MAX(A$7:A98)+1, A98)</f>
        <v>3</v>
      </c>
      <c r="B99" s="3">
        <v>40</v>
      </c>
      <c r="C99" s="11" t="s">
        <v>535</v>
      </c>
      <c r="D99" s="3">
        <v>-0.01</v>
      </c>
      <c r="E99" s="3">
        <v>0.5</v>
      </c>
      <c r="F99" s="3" t="s">
        <v>18</v>
      </c>
      <c r="G99" s="3">
        <v>7</v>
      </c>
      <c r="H99" s="3">
        <v>7</v>
      </c>
      <c r="I99" s="9"/>
    </row>
    <row r="100" spans="1:9" ht="14" x14ac:dyDescent="0.3">
      <c r="A100" s="3">
        <f>IF(B99=1, MAX(A$7:A99)+1, A99)</f>
        <v>3</v>
      </c>
      <c r="B100" s="3">
        <v>41</v>
      </c>
      <c r="C100" s="11" t="s">
        <v>536</v>
      </c>
      <c r="D100" s="3">
        <v>-0.1</v>
      </c>
      <c r="E100" s="3">
        <v>0.3</v>
      </c>
      <c r="F100" s="3" t="s">
        <v>18</v>
      </c>
      <c r="G100" s="3">
        <v>7</v>
      </c>
      <c r="H100" s="3">
        <v>7</v>
      </c>
      <c r="I100" s="9"/>
    </row>
    <row r="101" spans="1:9" ht="14" x14ac:dyDescent="0.3">
      <c r="A101" s="3">
        <f>IF(B100=1, MAX(A$7:A100)+1, A100)</f>
        <v>3</v>
      </c>
      <c r="B101" s="3">
        <v>42</v>
      </c>
      <c r="C101" s="11" t="s">
        <v>537</v>
      </c>
      <c r="D101" s="3">
        <v>-0.1</v>
      </c>
      <c r="E101" s="3">
        <v>0.1</v>
      </c>
      <c r="F101" s="3" t="s">
        <v>18</v>
      </c>
      <c r="G101" s="3">
        <v>7</v>
      </c>
      <c r="H101" s="3">
        <v>7</v>
      </c>
      <c r="I101" s="9"/>
    </row>
    <row r="102" spans="1:9" ht="14" x14ac:dyDescent="0.3">
      <c r="A102" s="3">
        <f>IF(B101=1, MAX(A$7:A101)+1, A101)</f>
        <v>3</v>
      </c>
      <c r="B102" s="3">
        <v>43</v>
      </c>
      <c r="C102" s="11" t="s">
        <v>538</v>
      </c>
      <c r="D102" s="3">
        <v>-0.1</v>
      </c>
      <c r="E102" s="3">
        <v>0.1</v>
      </c>
      <c r="F102" s="3" t="s">
        <v>18</v>
      </c>
      <c r="G102" s="3">
        <v>7</v>
      </c>
      <c r="H102" s="3">
        <v>7</v>
      </c>
      <c r="I102" s="9"/>
    </row>
    <row r="103" spans="1:9" ht="14" x14ac:dyDescent="0.3">
      <c r="A103" s="3">
        <f>IF(B102=1, MAX(A$7:A102)+1, A102)</f>
        <v>3</v>
      </c>
      <c r="B103" s="3">
        <v>44</v>
      </c>
      <c r="C103" s="11" t="s">
        <v>539</v>
      </c>
      <c r="D103" s="3">
        <v>-0.1</v>
      </c>
      <c r="E103" s="3">
        <v>0.1</v>
      </c>
      <c r="F103" s="3" t="s">
        <v>18</v>
      </c>
      <c r="G103" s="3">
        <v>7</v>
      </c>
      <c r="H103" s="3">
        <v>7</v>
      </c>
      <c r="I103" s="9"/>
    </row>
    <row r="104" spans="1:9" ht="14" x14ac:dyDescent="0.3">
      <c r="A104" s="3">
        <f>IF(B103=1, MAX(A$7:A103)+1, A103)</f>
        <v>3</v>
      </c>
      <c r="B104" s="3">
        <v>45</v>
      </c>
      <c r="C104" s="11" t="s">
        <v>540</v>
      </c>
      <c r="D104" s="3">
        <v>-0.1</v>
      </c>
      <c r="E104" s="3">
        <v>0.1</v>
      </c>
      <c r="F104" s="3" t="s">
        <v>18</v>
      </c>
      <c r="G104" s="3">
        <v>7</v>
      </c>
      <c r="H104" s="3">
        <v>7</v>
      </c>
      <c r="I104" s="9"/>
    </row>
    <row r="105" spans="1:9" ht="14" x14ac:dyDescent="0.3">
      <c r="A105" s="3">
        <f>IF(B104=1, MAX(A$7:A104)+1, A104)</f>
        <v>3</v>
      </c>
      <c r="B105" s="3">
        <v>1</v>
      </c>
      <c r="C105" s="11" t="s">
        <v>541</v>
      </c>
      <c r="D105" s="3">
        <v>550</v>
      </c>
      <c r="E105" s="3">
        <v>900</v>
      </c>
      <c r="F105" s="3" t="s">
        <v>18</v>
      </c>
      <c r="G105" s="3">
        <v>10</v>
      </c>
      <c r="H105" s="3">
        <v>10</v>
      </c>
      <c r="I105" s="9"/>
    </row>
    <row r="106" spans="1:9" ht="14" x14ac:dyDescent="0.3">
      <c r="A106" s="3">
        <f>IF(B105=1, MAX(A$7:A105)+1, A105)</f>
        <v>4</v>
      </c>
      <c r="B106" s="3">
        <v>2</v>
      </c>
      <c r="C106" s="11" t="s">
        <v>542</v>
      </c>
      <c r="D106" s="3">
        <v>550</v>
      </c>
      <c r="E106" s="3">
        <v>900</v>
      </c>
      <c r="F106" s="3" t="s">
        <v>18</v>
      </c>
      <c r="G106" s="3">
        <v>10</v>
      </c>
      <c r="H106" s="3">
        <v>10</v>
      </c>
      <c r="I106" s="9"/>
    </row>
    <row r="107" spans="1:9" ht="14" x14ac:dyDescent="0.3">
      <c r="A107" s="3">
        <f>IF(B106=1, MAX(A$7:A106)+1, A106)</f>
        <v>4</v>
      </c>
      <c r="B107" s="3">
        <v>3</v>
      </c>
      <c r="C107" s="11" t="s">
        <v>543</v>
      </c>
      <c r="D107" s="3">
        <v>0.5</v>
      </c>
      <c r="E107" s="3">
        <v>4.5</v>
      </c>
      <c r="F107" s="3" t="s">
        <v>18</v>
      </c>
      <c r="G107" s="3">
        <v>10</v>
      </c>
      <c r="H107" s="3">
        <v>10</v>
      </c>
      <c r="I107" s="9"/>
    </row>
    <row r="108" spans="1:9" ht="14" x14ac:dyDescent="0.3">
      <c r="A108" s="3">
        <f>IF(B107=1, MAX(A$7:A107)+1, A107)</f>
        <v>4</v>
      </c>
      <c r="B108" s="3">
        <v>4</v>
      </c>
      <c r="C108" s="11" t="s">
        <v>544</v>
      </c>
      <c r="D108" s="3">
        <v>0.5</v>
      </c>
      <c r="E108" s="3">
        <v>4.5</v>
      </c>
      <c r="F108" s="3" t="s">
        <v>18</v>
      </c>
      <c r="G108" s="3">
        <v>10</v>
      </c>
      <c r="H108" s="3">
        <v>10</v>
      </c>
      <c r="I108" s="9"/>
    </row>
    <row r="109" spans="1:9" ht="14" x14ac:dyDescent="0.3">
      <c r="A109" s="3">
        <f>IF(B108=1, MAX(A$7:A108)+1, A108)</f>
        <v>4</v>
      </c>
      <c r="B109" s="3">
        <v>5</v>
      </c>
      <c r="C109" s="11" t="s">
        <v>545</v>
      </c>
      <c r="D109" s="3">
        <v>0.5</v>
      </c>
      <c r="E109" s="3">
        <v>4.5</v>
      </c>
      <c r="F109" s="3" t="s">
        <v>18</v>
      </c>
      <c r="G109" s="3">
        <v>10</v>
      </c>
      <c r="H109" s="3">
        <v>10</v>
      </c>
      <c r="I109" s="9"/>
    </row>
    <row r="110" spans="1:9" ht="14" x14ac:dyDescent="0.3">
      <c r="A110" s="3">
        <f>IF(B109=1, MAX(A$7:A109)+1, A109)</f>
        <v>4</v>
      </c>
      <c r="B110" s="3">
        <v>6</v>
      </c>
      <c r="C110" s="11" t="s">
        <v>546</v>
      </c>
      <c r="D110" s="3">
        <v>0.5</v>
      </c>
      <c r="E110" s="3">
        <v>4.5</v>
      </c>
      <c r="F110" s="3" t="s">
        <v>18</v>
      </c>
      <c r="G110" s="3">
        <v>10</v>
      </c>
      <c r="H110" s="3">
        <v>10</v>
      </c>
      <c r="I110" s="9"/>
    </row>
    <row r="111" spans="1:9" ht="14" x14ac:dyDescent="0.3">
      <c r="A111" s="3">
        <f>IF(B110=1, MAX(A$7:A110)+1, A110)</f>
        <v>4</v>
      </c>
      <c r="B111" s="3">
        <v>7</v>
      </c>
      <c r="C111" s="11" t="s">
        <v>547</v>
      </c>
      <c r="D111" s="3">
        <v>2.8</v>
      </c>
      <c r="E111" s="3">
        <v>5.5</v>
      </c>
      <c r="F111" s="3" t="s">
        <v>18</v>
      </c>
      <c r="G111" s="3">
        <v>10</v>
      </c>
      <c r="H111" s="3">
        <v>10</v>
      </c>
      <c r="I111" s="9"/>
    </row>
    <row r="112" spans="1:9" ht="14" x14ac:dyDescent="0.3">
      <c r="A112" s="3">
        <f>IF(B111=1, MAX(A$7:A111)+1, A111)</f>
        <v>4</v>
      </c>
      <c r="B112" s="3">
        <v>8</v>
      </c>
      <c r="C112" s="11" t="s">
        <v>548</v>
      </c>
      <c r="D112" s="3">
        <v>2.8</v>
      </c>
      <c r="E112" s="3">
        <v>5.5</v>
      </c>
      <c r="F112" s="3" t="s">
        <v>18</v>
      </c>
      <c r="G112" s="3">
        <v>10</v>
      </c>
      <c r="H112" s="3">
        <v>10</v>
      </c>
      <c r="I112" s="9"/>
    </row>
    <row r="113" spans="1:9" ht="14" x14ac:dyDescent="0.3">
      <c r="A113" s="3">
        <f>IF(B112=1, MAX(A$7:A112)+1, A112)</f>
        <v>4</v>
      </c>
      <c r="B113" s="3">
        <v>9</v>
      </c>
      <c r="C113" s="11" t="s">
        <v>549</v>
      </c>
      <c r="D113" s="3">
        <v>4</v>
      </c>
      <c r="E113" s="3">
        <v>9</v>
      </c>
      <c r="F113" s="3" t="s">
        <v>18</v>
      </c>
      <c r="G113" s="3">
        <v>10</v>
      </c>
      <c r="H113" s="3">
        <v>10</v>
      </c>
      <c r="I113" s="9"/>
    </row>
    <row r="114" spans="1:9" ht="14" x14ac:dyDescent="0.3">
      <c r="A114" s="3">
        <f>IF(B113=1, MAX(A$7:A113)+1, A113)</f>
        <v>4</v>
      </c>
      <c r="B114" s="3">
        <v>10</v>
      </c>
      <c r="C114" s="11" t="s">
        <v>550</v>
      </c>
      <c r="D114" s="3">
        <v>4</v>
      </c>
      <c r="E114" s="3">
        <v>9</v>
      </c>
      <c r="F114" s="3" t="s">
        <v>18</v>
      </c>
      <c r="G114" s="3">
        <v>10</v>
      </c>
      <c r="H114" s="3">
        <v>10</v>
      </c>
      <c r="I114" s="9"/>
    </row>
    <row r="115" spans="1:9" ht="14" x14ac:dyDescent="0.3">
      <c r="A115" s="3">
        <f>IF(B114=1, MAX(A$7:A114)+1, A114)</f>
        <v>4</v>
      </c>
      <c r="B115" s="3">
        <v>11</v>
      </c>
      <c r="C115" s="11" t="s">
        <v>551</v>
      </c>
      <c r="D115" s="3">
        <v>4</v>
      </c>
      <c r="E115" s="3">
        <v>9</v>
      </c>
      <c r="F115" s="3" t="s">
        <v>18</v>
      </c>
      <c r="G115" s="3">
        <v>10</v>
      </c>
      <c r="H115" s="3">
        <v>10</v>
      </c>
      <c r="I115" s="9"/>
    </row>
    <row r="116" spans="1:9" ht="14" x14ac:dyDescent="0.3">
      <c r="A116" s="3">
        <f>IF(B115=1, MAX(A$7:A115)+1, A115)</f>
        <v>4</v>
      </c>
      <c r="B116" s="3">
        <v>12</v>
      </c>
      <c r="C116" s="11" t="s">
        <v>552</v>
      </c>
      <c r="D116" s="3">
        <v>4</v>
      </c>
      <c r="E116" s="3">
        <v>9</v>
      </c>
      <c r="F116" s="3" t="s">
        <v>18</v>
      </c>
      <c r="G116" s="3">
        <v>10</v>
      </c>
      <c r="H116" s="3">
        <v>10</v>
      </c>
      <c r="I116" s="9"/>
    </row>
    <row r="117" spans="1:9" ht="14" x14ac:dyDescent="0.3">
      <c r="A117" s="3">
        <f>IF(B116=1, MAX(A$7:A116)+1, A116)</f>
        <v>4</v>
      </c>
      <c r="B117" s="3">
        <v>13</v>
      </c>
      <c r="C117" s="11" t="s">
        <v>553</v>
      </c>
      <c r="D117" s="3">
        <v>-1</v>
      </c>
      <c r="E117" s="3">
        <v>1</v>
      </c>
      <c r="F117" s="3" t="s">
        <v>18</v>
      </c>
      <c r="G117" s="3">
        <v>10</v>
      </c>
      <c r="H117" s="3">
        <v>10</v>
      </c>
      <c r="I117" s="9"/>
    </row>
    <row r="118" spans="1:9" ht="14" x14ac:dyDescent="0.3">
      <c r="A118" s="3">
        <f>IF(B117=1, MAX(A$7:A117)+1, A117)</f>
        <v>4</v>
      </c>
      <c r="B118" s="3">
        <v>14</v>
      </c>
      <c r="C118" s="11" t="s">
        <v>554</v>
      </c>
      <c r="D118" s="3">
        <v>800</v>
      </c>
      <c r="E118" s="3">
        <v>1300</v>
      </c>
      <c r="F118" s="3" t="s">
        <v>18</v>
      </c>
      <c r="G118" s="3">
        <v>10</v>
      </c>
      <c r="H118" s="3">
        <v>10</v>
      </c>
      <c r="I118" s="9"/>
    </row>
    <row r="119" spans="1:9" ht="14" x14ac:dyDescent="0.3">
      <c r="A119" s="3">
        <f>IF(B118=1, MAX(A$7:A118)+1, A118)</f>
        <v>4</v>
      </c>
      <c r="B119" s="3">
        <v>15</v>
      </c>
      <c r="C119" s="11" t="s">
        <v>555</v>
      </c>
      <c r="D119" s="3">
        <v>800</v>
      </c>
      <c r="E119" s="3">
        <v>1300</v>
      </c>
      <c r="F119" s="3" t="s">
        <v>18</v>
      </c>
      <c r="G119" s="3">
        <v>10</v>
      </c>
      <c r="H119" s="3">
        <v>10</v>
      </c>
      <c r="I119" s="9"/>
    </row>
    <row r="120" spans="1:9" ht="14" x14ac:dyDescent="0.3">
      <c r="A120" s="3">
        <f>IF(B119=1, MAX(A$7:A119)+1, A119)</f>
        <v>4</v>
      </c>
      <c r="B120" s="3">
        <v>16</v>
      </c>
      <c r="C120" s="11" t="s">
        <v>556</v>
      </c>
      <c r="D120" s="3">
        <v>800</v>
      </c>
      <c r="E120" s="3">
        <v>1300</v>
      </c>
      <c r="F120" s="3" t="s">
        <v>18</v>
      </c>
      <c r="G120" s="3">
        <v>10</v>
      </c>
      <c r="H120" s="3">
        <v>10</v>
      </c>
      <c r="I120" s="9"/>
    </row>
    <row r="121" spans="1:9" ht="14" x14ac:dyDescent="0.3">
      <c r="A121" s="3">
        <f>IF(B120=1, MAX(A$7:A120)+1, A120)</f>
        <v>4</v>
      </c>
      <c r="B121" s="3">
        <v>17</v>
      </c>
      <c r="C121" s="11" t="s">
        <v>557</v>
      </c>
      <c r="D121" s="3">
        <v>800</v>
      </c>
      <c r="E121" s="3">
        <v>1300</v>
      </c>
      <c r="F121" s="3" t="s">
        <v>18</v>
      </c>
      <c r="G121" s="3">
        <v>10</v>
      </c>
      <c r="H121" s="3">
        <v>10</v>
      </c>
      <c r="I121" s="9"/>
    </row>
    <row r="122" spans="1:9" ht="14" x14ac:dyDescent="0.3">
      <c r="A122" s="3">
        <f>IF(B121=1, MAX(A$7:A121)+1, A121)</f>
        <v>4</v>
      </c>
      <c r="B122" s="3">
        <v>18</v>
      </c>
      <c r="C122" s="11" t="s">
        <v>558</v>
      </c>
      <c r="D122" s="3">
        <v>700</v>
      </c>
      <c r="E122" s="3">
        <v>1360</v>
      </c>
      <c r="F122" s="3" t="s">
        <v>18</v>
      </c>
      <c r="G122" s="3">
        <v>11</v>
      </c>
      <c r="H122" s="3">
        <v>11</v>
      </c>
      <c r="I122" s="9"/>
    </row>
    <row r="123" spans="1:9" ht="14" x14ac:dyDescent="0.3">
      <c r="A123" s="3">
        <f>IF(B122=1, MAX(A$7:A122)+1, A122)</f>
        <v>4</v>
      </c>
      <c r="B123" s="3">
        <v>19</v>
      </c>
      <c r="C123" s="11" t="s">
        <v>559</v>
      </c>
      <c r="D123" s="3">
        <v>700</v>
      </c>
      <c r="E123" s="3">
        <v>1360</v>
      </c>
      <c r="F123" s="3" t="s">
        <v>18</v>
      </c>
      <c r="G123" s="3">
        <v>11</v>
      </c>
      <c r="H123" s="3">
        <v>11</v>
      </c>
      <c r="I123" s="9"/>
    </row>
    <row r="124" spans="1:9" ht="14" x14ac:dyDescent="0.3">
      <c r="A124" s="3">
        <f>IF(B123=1, MAX(A$7:A123)+1, A123)</f>
        <v>4</v>
      </c>
      <c r="B124" s="3">
        <v>20</v>
      </c>
      <c r="C124" s="11" t="s">
        <v>560</v>
      </c>
      <c r="D124" s="3">
        <v>120</v>
      </c>
      <c r="E124" s="3">
        <v>990</v>
      </c>
      <c r="F124" s="3" t="s">
        <v>18</v>
      </c>
      <c r="G124" s="3">
        <v>11</v>
      </c>
      <c r="H124" s="3">
        <v>11</v>
      </c>
      <c r="I124" s="9"/>
    </row>
    <row r="125" spans="1:9" ht="14" x14ac:dyDescent="0.3">
      <c r="A125" s="3">
        <f>IF(B124=1, MAX(A$7:A124)+1, A124)</f>
        <v>4</v>
      </c>
      <c r="B125" s="3">
        <v>21</v>
      </c>
      <c r="C125" s="11" t="s">
        <v>561</v>
      </c>
      <c r="D125" s="3">
        <v>120</v>
      </c>
      <c r="E125" s="3">
        <v>990</v>
      </c>
      <c r="F125" s="3" t="s">
        <v>18</v>
      </c>
      <c r="G125" s="3">
        <v>11</v>
      </c>
      <c r="H125" s="3">
        <v>11</v>
      </c>
      <c r="I125" s="9"/>
    </row>
    <row r="126" spans="1:9" ht="14" x14ac:dyDescent="0.3">
      <c r="A126" s="3">
        <f>IF(B125=1, MAX(A$7:A125)+1, A125)</f>
        <v>4</v>
      </c>
      <c r="B126" s="3">
        <v>22</v>
      </c>
      <c r="C126" s="11" t="s">
        <v>562</v>
      </c>
      <c r="D126" s="3">
        <v>12</v>
      </c>
      <c r="E126" s="3">
        <v>45</v>
      </c>
      <c r="F126" s="3" t="s">
        <v>18</v>
      </c>
      <c r="G126" s="3">
        <v>11</v>
      </c>
      <c r="H126" s="3">
        <v>11</v>
      </c>
      <c r="I126" s="9"/>
    </row>
    <row r="127" spans="1:9" ht="14" x14ac:dyDescent="0.3">
      <c r="A127" s="3">
        <f>IF(B126=1, MAX(A$7:A126)+1, A126)</f>
        <v>4</v>
      </c>
      <c r="B127" s="3">
        <v>23</v>
      </c>
      <c r="C127" s="11" t="s">
        <v>563</v>
      </c>
      <c r="D127" s="3">
        <v>12</v>
      </c>
      <c r="E127" s="3">
        <v>45</v>
      </c>
      <c r="F127" s="3" t="s">
        <v>18</v>
      </c>
      <c r="G127" s="3">
        <v>11</v>
      </c>
      <c r="H127" s="3">
        <v>11</v>
      </c>
      <c r="I127" s="9"/>
    </row>
    <row r="128" spans="1:9" ht="14" x14ac:dyDescent="0.3">
      <c r="A128" s="3">
        <f>IF(B127=1, MAX(A$7:A127)+1, A127)</f>
        <v>4</v>
      </c>
      <c r="B128" s="3">
        <v>24</v>
      </c>
      <c r="C128" s="11" t="s">
        <v>564</v>
      </c>
      <c r="D128" s="3">
        <v>2</v>
      </c>
      <c r="E128" s="3">
        <v>15</v>
      </c>
      <c r="F128" s="3" t="s">
        <v>18</v>
      </c>
      <c r="G128" s="3">
        <v>11</v>
      </c>
      <c r="H128" s="3">
        <v>11</v>
      </c>
      <c r="I128" s="9"/>
    </row>
    <row r="129" spans="1:9" ht="14" x14ac:dyDescent="0.3">
      <c r="A129" s="3">
        <f>IF(B128=1, MAX(A$7:A128)+1, A128)</f>
        <v>4</v>
      </c>
      <c r="B129" s="3">
        <v>25</v>
      </c>
      <c r="C129" s="11" t="s">
        <v>565</v>
      </c>
      <c r="D129" s="3">
        <v>2</v>
      </c>
      <c r="E129" s="3">
        <v>15</v>
      </c>
      <c r="F129" s="3" t="s">
        <v>18</v>
      </c>
      <c r="G129" s="3">
        <v>11</v>
      </c>
      <c r="H129" s="3">
        <v>11</v>
      </c>
      <c r="I129" s="9"/>
    </row>
    <row r="130" spans="1:9" ht="14" x14ac:dyDescent="0.3">
      <c r="A130" s="3">
        <f>IF(B129=1, MAX(A$7:A129)+1, A129)</f>
        <v>4</v>
      </c>
      <c r="B130" s="3">
        <v>26</v>
      </c>
      <c r="C130" s="11" t="s">
        <v>566</v>
      </c>
      <c r="D130" s="3">
        <v>40</v>
      </c>
      <c r="E130" s="3">
        <v>90</v>
      </c>
      <c r="F130" s="3" t="s">
        <v>18</v>
      </c>
      <c r="G130" s="3">
        <v>11</v>
      </c>
      <c r="H130" s="3">
        <v>11</v>
      </c>
      <c r="I130" s="9"/>
    </row>
    <row r="131" spans="1:9" ht="14" x14ac:dyDescent="0.3">
      <c r="A131" s="3">
        <f>IF(B130=1, MAX(A$7:A130)+1, A130)</f>
        <v>4</v>
      </c>
      <c r="B131" s="3">
        <v>27</v>
      </c>
      <c r="C131" s="11" t="s">
        <v>567</v>
      </c>
      <c r="D131" s="3">
        <v>40</v>
      </c>
      <c r="E131" s="3">
        <v>90</v>
      </c>
      <c r="F131" s="3" t="s">
        <v>18</v>
      </c>
      <c r="G131" s="3">
        <v>11</v>
      </c>
      <c r="H131" s="3">
        <v>11</v>
      </c>
      <c r="I131" s="9"/>
    </row>
    <row r="132" spans="1:9" ht="14" x14ac:dyDescent="0.3">
      <c r="A132" s="3">
        <f>IF(B131=1, MAX(A$7:A131)+1, A131)</f>
        <v>4</v>
      </c>
      <c r="B132" s="3">
        <v>28</v>
      </c>
      <c r="C132" s="11" t="s">
        <v>568</v>
      </c>
      <c r="D132" s="3">
        <v>40</v>
      </c>
      <c r="E132" s="3">
        <v>90</v>
      </c>
      <c r="F132" s="3" t="s">
        <v>18</v>
      </c>
      <c r="G132" s="3">
        <v>11</v>
      </c>
      <c r="H132" s="3">
        <v>11</v>
      </c>
      <c r="I132" s="9"/>
    </row>
    <row r="133" spans="1:9" ht="14" x14ac:dyDescent="0.3">
      <c r="A133" s="3">
        <f>IF(B132=1, MAX(A$7:A132)+1, A132)</f>
        <v>4</v>
      </c>
      <c r="B133" s="3">
        <v>29</v>
      </c>
      <c r="C133" s="11" t="s">
        <v>569</v>
      </c>
      <c r="D133" s="3">
        <v>40</v>
      </c>
      <c r="E133" s="3">
        <v>90</v>
      </c>
      <c r="F133" s="3" t="s">
        <v>18</v>
      </c>
      <c r="G133" s="3">
        <v>11</v>
      </c>
      <c r="H133" s="3">
        <v>11</v>
      </c>
      <c r="I133" s="9"/>
    </row>
    <row r="134" spans="1:9" ht="14" x14ac:dyDescent="0.3">
      <c r="A134" s="3">
        <f>IF(B133=1, MAX(A$7:A133)+1, A133)</f>
        <v>4</v>
      </c>
      <c r="B134" s="3">
        <v>30</v>
      </c>
      <c r="C134" s="11" t="s">
        <v>570</v>
      </c>
      <c r="D134" s="3">
        <v>3</v>
      </c>
      <c r="E134" s="3">
        <v>800</v>
      </c>
      <c r="F134" s="3" t="s">
        <v>18</v>
      </c>
      <c r="G134" s="3">
        <v>11</v>
      </c>
      <c r="H134" s="3">
        <v>11</v>
      </c>
      <c r="I134" s="9"/>
    </row>
    <row r="135" spans="1:9" ht="14" x14ac:dyDescent="0.3">
      <c r="A135" s="3">
        <f>IF(B134=1, MAX(A$7:A134)+1, A134)</f>
        <v>4</v>
      </c>
      <c r="B135" s="3">
        <v>31</v>
      </c>
      <c r="C135" s="11" t="s">
        <v>571</v>
      </c>
      <c r="D135" s="3">
        <v>5500</v>
      </c>
      <c r="E135" s="3">
        <v>9500</v>
      </c>
      <c r="F135" s="3" t="s">
        <v>18</v>
      </c>
      <c r="G135" s="3">
        <v>11</v>
      </c>
      <c r="H135" s="3">
        <v>11</v>
      </c>
      <c r="I135" s="9"/>
    </row>
    <row r="136" spans="1:9" ht="14" x14ac:dyDescent="0.3">
      <c r="A136" s="3">
        <f>IF(B135=1, MAX(A$7:A135)+1, A135)</f>
        <v>4</v>
      </c>
      <c r="B136" s="3">
        <v>32</v>
      </c>
      <c r="C136" s="11" t="s">
        <v>572</v>
      </c>
      <c r="D136" s="3">
        <v>5500</v>
      </c>
      <c r="E136" s="3">
        <v>9500</v>
      </c>
      <c r="F136" s="3" t="s">
        <v>18</v>
      </c>
      <c r="G136" s="3">
        <v>11</v>
      </c>
      <c r="H136" s="3">
        <v>11</v>
      </c>
      <c r="I136" s="9"/>
    </row>
    <row r="137" spans="1:9" ht="14" x14ac:dyDescent="0.3">
      <c r="A137" s="3">
        <f>IF(B136=1, MAX(A$7:A136)+1, A136)</f>
        <v>4</v>
      </c>
      <c r="B137" s="3">
        <v>33</v>
      </c>
      <c r="C137" s="11" t="s">
        <v>573</v>
      </c>
      <c r="D137" s="3">
        <v>5500</v>
      </c>
      <c r="E137" s="3">
        <v>9500</v>
      </c>
      <c r="F137" s="3" t="s">
        <v>18</v>
      </c>
      <c r="G137" s="3">
        <v>11</v>
      </c>
      <c r="H137" s="3">
        <v>11</v>
      </c>
      <c r="I137" s="9"/>
    </row>
    <row r="138" spans="1:9" ht="14" x14ac:dyDescent="0.3">
      <c r="A138" s="3">
        <f>IF(B137=1, MAX(A$7:A137)+1, A137)</f>
        <v>4</v>
      </c>
      <c r="B138" s="3">
        <v>34</v>
      </c>
      <c r="C138" s="11" t="s">
        <v>574</v>
      </c>
      <c r="D138" s="3">
        <v>5500</v>
      </c>
      <c r="E138" s="3">
        <v>9500</v>
      </c>
      <c r="F138" s="3" t="s">
        <v>18</v>
      </c>
      <c r="G138" s="3">
        <v>11</v>
      </c>
      <c r="H138" s="3">
        <v>11</v>
      </c>
      <c r="I138" s="9"/>
    </row>
    <row r="139" spans="1:9" ht="14" x14ac:dyDescent="0.3">
      <c r="A139" s="3">
        <f>IF(B138=1, MAX(A$7:A138)+1, A138)</f>
        <v>4</v>
      </c>
      <c r="B139" s="3">
        <v>35</v>
      </c>
      <c r="C139" s="11" t="s">
        <v>575</v>
      </c>
      <c r="D139" s="3">
        <v>550</v>
      </c>
      <c r="E139" s="3">
        <v>900</v>
      </c>
      <c r="F139" s="3" t="s">
        <v>18</v>
      </c>
      <c r="G139" s="3">
        <v>10</v>
      </c>
      <c r="H139" s="3">
        <v>10</v>
      </c>
      <c r="I139" s="9"/>
    </row>
    <row r="140" spans="1:9" ht="14" x14ac:dyDescent="0.3">
      <c r="A140" s="3">
        <f>IF(B139=1, MAX(A$7:A139)+1, A139)</f>
        <v>4</v>
      </c>
      <c r="B140" s="3">
        <v>36</v>
      </c>
      <c r="C140" s="11" t="s">
        <v>576</v>
      </c>
      <c r="D140" s="3">
        <v>550</v>
      </c>
      <c r="E140" s="3">
        <v>900</v>
      </c>
      <c r="F140" s="3" t="s">
        <v>18</v>
      </c>
      <c r="G140" s="3">
        <v>10</v>
      </c>
      <c r="H140" s="3">
        <v>10</v>
      </c>
      <c r="I140" s="9"/>
    </row>
    <row r="141" spans="1:9" ht="14" x14ac:dyDescent="0.3">
      <c r="A141" s="3">
        <f>IF(B140=1, MAX(A$7:A140)+1, A140)</f>
        <v>4</v>
      </c>
      <c r="B141" s="3">
        <v>37</v>
      </c>
      <c r="C141" s="11" t="s">
        <v>577</v>
      </c>
      <c r="D141" s="3">
        <v>0.5</v>
      </c>
      <c r="E141" s="3">
        <v>4.5</v>
      </c>
      <c r="F141" s="3" t="s">
        <v>18</v>
      </c>
      <c r="G141" s="3">
        <v>10</v>
      </c>
      <c r="H141" s="3">
        <v>10</v>
      </c>
      <c r="I141" s="9"/>
    </row>
    <row r="142" spans="1:9" ht="14" x14ac:dyDescent="0.3">
      <c r="A142" s="3">
        <f>IF(B141=1, MAX(A$7:A141)+1, A141)</f>
        <v>4</v>
      </c>
      <c r="B142" s="3">
        <v>38</v>
      </c>
      <c r="C142" s="11" t="s">
        <v>578</v>
      </c>
      <c r="D142" s="3">
        <v>0.5</v>
      </c>
      <c r="E142" s="3">
        <v>4.5</v>
      </c>
      <c r="F142" s="3" t="s">
        <v>18</v>
      </c>
      <c r="G142" s="3">
        <v>10</v>
      </c>
      <c r="H142" s="3">
        <v>10</v>
      </c>
      <c r="I142" s="9"/>
    </row>
    <row r="143" spans="1:9" ht="14" x14ac:dyDescent="0.3">
      <c r="A143" s="3">
        <f>IF(B142=1, MAX(A$7:A142)+1, A142)</f>
        <v>4</v>
      </c>
      <c r="B143" s="3">
        <v>39</v>
      </c>
      <c r="C143" s="11" t="s">
        <v>579</v>
      </c>
      <c r="D143" s="3">
        <v>0.5</v>
      </c>
      <c r="E143" s="3">
        <v>4.5</v>
      </c>
      <c r="F143" s="3" t="s">
        <v>18</v>
      </c>
      <c r="G143" s="3">
        <v>10</v>
      </c>
      <c r="H143" s="3">
        <v>10</v>
      </c>
      <c r="I143" s="9"/>
    </row>
    <row r="144" spans="1:9" ht="14" x14ac:dyDescent="0.3">
      <c r="A144" s="3">
        <f>IF(B143=1, MAX(A$7:A143)+1, A143)</f>
        <v>4</v>
      </c>
      <c r="B144" s="3">
        <v>40</v>
      </c>
      <c r="C144" s="11" t="s">
        <v>580</v>
      </c>
      <c r="D144" s="3">
        <v>0.5</v>
      </c>
      <c r="E144" s="3">
        <v>4.5</v>
      </c>
      <c r="F144" s="3" t="s">
        <v>18</v>
      </c>
      <c r="G144" s="3">
        <v>10</v>
      </c>
      <c r="H144" s="3">
        <v>10</v>
      </c>
      <c r="I144" s="9"/>
    </row>
    <row r="145" spans="1:9" ht="14" x14ac:dyDescent="0.3">
      <c r="A145" s="3">
        <f>IF(B144=1, MAX(A$7:A144)+1, A144)</f>
        <v>4</v>
      </c>
      <c r="B145" s="3">
        <v>41</v>
      </c>
      <c r="C145" s="11" t="s">
        <v>581</v>
      </c>
      <c r="D145" s="3">
        <v>2.8</v>
      </c>
      <c r="E145" s="3">
        <v>5.5</v>
      </c>
      <c r="F145" s="3" t="s">
        <v>18</v>
      </c>
      <c r="G145" s="3">
        <v>10</v>
      </c>
      <c r="H145" s="3">
        <v>10</v>
      </c>
      <c r="I145" s="9"/>
    </row>
    <row r="146" spans="1:9" ht="14" x14ac:dyDescent="0.3">
      <c r="A146" s="3">
        <f>IF(B145=1, MAX(A$7:A145)+1, A145)</f>
        <v>4</v>
      </c>
      <c r="B146" s="3">
        <v>42</v>
      </c>
      <c r="C146" s="11" t="s">
        <v>582</v>
      </c>
      <c r="D146" s="3">
        <v>2.8</v>
      </c>
      <c r="E146" s="3">
        <v>5.5</v>
      </c>
      <c r="F146" s="3" t="s">
        <v>18</v>
      </c>
      <c r="G146" s="3">
        <v>10</v>
      </c>
      <c r="H146" s="3">
        <v>10</v>
      </c>
      <c r="I146" s="9"/>
    </row>
    <row r="147" spans="1:9" ht="14" x14ac:dyDescent="0.3">
      <c r="A147" s="3">
        <f>IF(B146=1, MAX(A$7:A146)+1, A146)</f>
        <v>4</v>
      </c>
      <c r="B147" s="3">
        <v>43</v>
      </c>
      <c r="C147" s="11" t="s">
        <v>583</v>
      </c>
      <c r="D147" s="3">
        <v>4</v>
      </c>
      <c r="E147" s="3">
        <v>9</v>
      </c>
      <c r="F147" s="3" t="s">
        <v>18</v>
      </c>
      <c r="G147" s="3">
        <v>10</v>
      </c>
      <c r="H147" s="3">
        <v>10</v>
      </c>
      <c r="I147" s="9"/>
    </row>
    <row r="148" spans="1:9" ht="14" x14ac:dyDescent="0.3">
      <c r="A148" s="3">
        <f>IF(B147=1, MAX(A$7:A147)+1, A147)</f>
        <v>4</v>
      </c>
      <c r="B148" s="3">
        <v>44</v>
      </c>
      <c r="C148" s="11" t="s">
        <v>584</v>
      </c>
      <c r="D148" s="3">
        <v>4</v>
      </c>
      <c r="E148" s="3">
        <v>9</v>
      </c>
      <c r="F148" s="3" t="s">
        <v>18</v>
      </c>
      <c r="G148" s="3">
        <v>10</v>
      </c>
      <c r="H148" s="3">
        <v>10</v>
      </c>
      <c r="I148" s="9"/>
    </row>
    <row r="149" spans="1:9" ht="14" x14ac:dyDescent="0.3">
      <c r="A149" s="3">
        <f>IF(B148=1, MAX(A$7:A148)+1, A148)</f>
        <v>4</v>
      </c>
      <c r="B149" s="3">
        <v>45</v>
      </c>
      <c r="C149" s="11" t="s">
        <v>585</v>
      </c>
      <c r="D149" s="3">
        <v>4</v>
      </c>
      <c r="E149" s="3">
        <v>9</v>
      </c>
      <c r="F149" s="3" t="s">
        <v>18</v>
      </c>
      <c r="G149" s="3">
        <v>10</v>
      </c>
      <c r="H149" s="3">
        <v>10</v>
      </c>
      <c r="I149" s="9"/>
    </row>
    <row r="150" spans="1:9" ht="14" x14ac:dyDescent="0.3">
      <c r="A150" s="3">
        <f>IF(B149=1, MAX(A$7:A149)+1, A149)</f>
        <v>4</v>
      </c>
      <c r="B150" s="3">
        <v>46</v>
      </c>
      <c r="C150" s="11" t="s">
        <v>586</v>
      </c>
      <c r="D150" s="3">
        <v>4</v>
      </c>
      <c r="E150" s="3">
        <v>9</v>
      </c>
      <c r="F150" s="3" t="s">
        <v>18</v>
      </c>
      <c r="G150" s="3">
        <v>10</v>
      </c>
      <c r="H150" s="3">
        <v>10</v>
      </c>
      <c r="I150" s="9"/>
    </row>
    <row r="151" spans="1:9" ht="14" x14ac:dyDescent="0.3">
      <c r="A151" s="3">
        <f>IF(B150=1, MAX(A$7:A150)+1, A150)</f>
        <v>4</v>
      </c>
      <c r="B151" s="3">
        <v>47</v>
      </c>
      <c r="C151" s="11" t="s">
        <v>587</v>
      </c>
      <c r="D151" s="3">
        <v>-1</v>
      </c>
      <c r="E151" s="3">
        <v>1</v>
      </c>
      <c r="F151" s="3" t="s">
        <v>18</v>
      </c>
      <c r="G151" s="3">
        <v>10</v>
      </c>
      <c r="H151" s="3">
        <v>10</v>
      </c>
      <c r="I151" s="9"/>
    </row>
    <row r="152" spans="1:9" ht="14" x14ac:dyDescent="0.3">
      <c r="A152" s="3">
        <f>IF(B151=1, MAX(A$7:A151)+1, A151)</f>
        <v>4</v>
      </c>
      <c r="B152" s="3">
        <v>48</v>
      </c>
      <c r="C152" s="11" t="s">
        <v>588</v>
      </c>
      <c r="D152" s="3">
        <v>800</v>
      </c>
      <c r="E152" s="3">
        <v>1300</v>
      </c>
      <c r="F152" s="3" t="s">
        <v>18</v>
      </c>
      <c r="G152" s="3">
        <v>10</v>
      </c>
      <c r="H152" s="3">
        <v>10</v>
      </c>
      <c r="I152" s="9"/>
    </row>
    <row r="153" spans="1:9" ht="14" x14ac:dyDescent="0.3">
      <c r="A153" s="3">
        <f>IF(B152=1, MAX(A$7:A152)+1, A152)</f>
        <v>4</v>
      </c>
      <c r="B153" s="3">
        <v>49</v>
      </c>
      <c r="C153" s="11" t="s">
        <v>589</v>
      </c>
      <c r="D153" s="3">
        <v>800</v>
      </c>
      <c r="E153" s="3">
        <v>1300</v>
      </c>
      <c r="F153" s="3" t="s">
        <v>18</v>
      </c>
      <c r="G153" s="3">
        <v>10</v>
      </c>
      <c r="H153" s="3">
        <v>10</v>
      </c>
      <c r="I153" s="9"/>
    </row>
    <row r="154" spans="1:9" ht="14" x14ac:dyDescent="0.3">
      <c r="A154" s="3">
        <f>IF(B153=1, MAX(A$7:A153)+1, A153)</f>
        <v>4</v>
      </c>
      <c r="B154" s="3">
        <v>50</v>
      </c>
      <c r="C154" s="11" t="s">
        <v>590</v>
      </c>
      <c r="D154" s="3">
        <v>800</v>
      </c>
      <c r="E154" s="3">
        <v>1300</v>
      </c>
      <c r="F154" s="3" t="s">
        <v>18</v>
      </c>
      <c r="G154" s="3">
        <v>10</v>
      </c>
      <c r="H154" s="3">
        <v>10</v>
      </c>
      <c r="I154" s="9"/>
    </row>
    <row r="155" spans="1:9" ht="14" x14ac:dyDescent="0.3">
      <c r="A155" s="3">
        <f>IF(B154=1, MAX(A$7:A154)+1, A154)</f>
        <v>4</v>
      </c>
      <c r="B155" s="3">
        <v>51</v>
      </c>
      <c r="C155" s="11" t="s">
        <v>591</v>
      </c>
      <c r="D155" s="3">
        <v>800</v>
      </c>
      <c r="E155" s="3">
        <v>1300</v>
      </c>
      <c r="F155" s="3" t="s">
        <v>18</v>
      </c>
      <c r="G155" s="3">
        <v>10</v>
      </c>
      <c r="H155" s="3">
        <v>10</v>
      </c>
      <c r="I155" s="9"/>
    </row>
    <row r="156" spans="1:9" ht="14" x14ac:dyDescent="0.3">
      <c r="A156" s="3">
        <f>IF(B155=1, MAX(A$7:A155)+1, A155)</f>
        <v>4</v>
      </c>
      <c r="B156" s="3">
        <v>52</v>
      </c>
      <c r="C156" s="11" t="s">
        <v>592</v>
      </c>
      <c r="D156" s="3">
        <v>-15</v>
      </c>
      <c r="E156" s="3">
        <v>15</v>
      </c>
      <c r="F156" s="3" t="s">
        <v>18</v>
      </c>
      <c r="G156" s="3">
        <v>10</v>
      </c>
      <c r="H156" s="3">
        <v>10</v>
      </c>
      <c r="I156" s="9"/>
    </row>
    <row r="157" spans="1:9" ht="14" x14ac:dyDescent="0.3">
      <c r="A157" s="3">
        <f>IF(B156=1, MAX(A$7:A156)+1, A156)</f>
        <v>4</v>
      </c>
      <c r="B157" s="3">
        <v>53</v>
      </c>
      <c r="C157" s="11" t="s">
        <v>593</v>
      </c>
      <c r="D157" s="3">
        <v>-15</v>
      </c>
      <c r="E157" s="3">
        <v>15</v>
      </c>
      <c r="F157" s="3" t="s">
        <v>18</v>
      </c>
      <c r="G157" s="3">
        <v>10</v>
      </c>
      <c r="H157" s="3">
        <v>10</v>
      </c>
      <c r="I157" s="9"/>
    </row>
    <row r="158" spans="1:9" ht="14" x14ac:dyDescent="0.3">
      <c r="A158" s="3">
        <f>IF(B157=1, MAX(A$7:A157)+1, A157)</f>
        <v>4</v>
      </c>
      <c r="B158" s="3">
        <v>54</v>
      </c>
      <c r="C158" s="11" t="s">
        <v>594</v>
      </c>
      <c r="D158" s="3">
        <v>-0.1</v>
      </c>
      <c r="E158" s="3">
        <v>0.1</v>
      </c>
      <c r="F158" s="3" t="s">
        <v>18</v>
      </c>
      <c r="G158" s="3">
        <v>10</v>
      </c>
      <c r="H158" s="3">
        <v>10</v>
      </c>
      <c r="I158" s="9"/>
    </row>
    <row r="159" spans="1:9" ht="14" x14ac:dyDescent="0.3">
      <c r="A159" s="3">
        <f>IF(B158=1, MAX(A$7:A158)+1, A158)</f>
        <v>4</v>
      </c>
      <c r="B159" s="3">
        <v>55</v>
      </c>
      <c r="C159" s="11" t="s">
        <v>595</v>
      </c>
      <c r="D159" s="3">
        <v>-0.1</v>
      </c>
      <c r="E159" s="3">
        <v>0.1</v>
      </c>
      <c r="F159" s="3" t="s">
        <v>18</v>
      </c>
      <c r="G159" s="3">
        <v>10</v>
      </c>
      <c r="H159" s="3">
        <v>10</v>
      </c>
      <c r="I159" s="9"/>
    </row>
    <row r="160" spans="1:9" ht="14" x14ac:dyDescent="0.3">
      <c r="A160" s="3">
        <f>IF(B159=1, MAX(A$7:A159)+1, A159)</f>
        <v>4</v>
      </c>
      <c r="B160" s="3">
        <v>56</v>
      </c>
      <c r="C160" s="11" t="s">
        <v>596</v>
      </c>
      <c r="D160" s="3">
        <v>-0.1</v>
      </c>
      <c r="E160" s="3">
        <v>0.1</v>
      </c>
      <c r="F160" s="3" t="s">
        <v>18</v>
      </c>
      <c r="G160" s="3">
        <v>10</v>
      </c>
      <c r="H160" s="3">
        <v>10</v>
      </c>
      <c r="I160" s="9"/>
    </row>
    <row r="161" spans="1:9" ht="14" x14ac:dyDescent="0.3">
      <c r="A161" s="3">
        <f>IF(B160=1, MAX(A$7:A160)+1, A160)</f>
        <v>4</v>
      </c>
      <c r="B161" s="3">
        <v>57</v>
      </c>
      <c r="C161" s="11" t="s">
        <v>597</v>
      </c>
      <c r="D161" s="3">
        <v>-0.1</v>
      </c>
      <c r="E161" s="3">
        <v>0.1</v>
      </c>
      <c r="F161" s="3" t="s">
        <v>18</v>
      </c>
      <c r="G161" s="3">
        <v>10</v>
      </c>
      <c r="H161" s="3">
        <v>10</v>
      </c>
      <c r="I161" s="9"/>
    </row>
    <row r="162" spans="1:9" ht="14" x14ac:dyDescent="0.3">
      <c r="A162" s="3">
        <f>IF(B161=1, MAX(A$7:A161)+1, A161)</f>
        <v>4</v>
      </c>
      <c r="B162" s="3">
        <v>58</v>
      </c>
      <c r="C162" s="11" t="s">
        <v>598</v>
      </c>
      <c r="D162" s="3">
        <v>-0.1</v>
      </c>
      <c r="E162" s="3">
        <v>0.1</v>
      </c>
      <c r="F162" s="3" t="s">
        <v>18</v>
      </c>
      <c r="G162" s="3">
        <v>10</v>
      </c>
      <c r="H162" s="3">
        <v>10</v>
      </c>
      <c r="I162" s="9"/>
    </row>
    <row r="163" spans="1:9" ht="14" x14ac:dyDescent="0.3">
      <c r="A163" s="3">
        <f>IF(B162=1, MAX(A$7:A162)+1, A162)</f>
        <v>4</v>
      </c>
      <c r="B163" s="3">
        <v>59</v>
      </c>
      <c r="C163" s="11" t="s">
        <v>599</v>
      </c>
      <c r="D163" s="3">
        <v>-0.1</v>
      </c>
      <c r="E163" s="3">
        <v>0.1</v>
      </c>
      <c r="F163" s="3" t="s">
        <v>18</v>
      </c>
      <c r="G163" s="3">
        <v>10</v>
      </c>
      <c r="H163" s="3">
        <v>10</v>
      </c>
      <c r="I163" s="9"/>
    </row>
    <row r="164" spans="1:9" ht="14" x14ac:dyDescent="0.3">
      <c r="A164" s="3">
        <f>IF(B163=1, MAX(A$7:A163)+1, A163)</f>
        <v>4</v>
      </c>
      <c r="B164" s="3">
        <v>60</v>
      </c>
      <c r="C164" s="11" t="s">
        <v>600</v>
      </c>
      <c r="D164" s="3">
        <v>-0.1</v>
      </c>
      <c r="E164" s="3">
        <v>0.1</v>
      </c>
      <c r="F164" s="3" t="s">
        <v>18</v>
      </c>
      <c r="G164" s="3">
        <v>10</v>
      </c>
      <c r="H164" s="3">
        <v>10</v>
      </c>
      <c r="I164" s="9"/>
    </row>
    <row r="165" spans="1:9" ht="14" x14ac:dyDescent="0.3">
      <c r="A165" s="3">
        <f>IF(B164=1, MAX(A$7:A164)+1, A164)</f>
        <v>4</v>
      </c>
      <c r="B165" s="3">
        <v>61</v>
      </c>
      <c r="C165" s="11" t="s">
        <v>601</v>
      </c>
      <c r="D165" s="3">
        <v>-0.1</v>
      </c>
      <c r="E165" s="3">
        <v>0.1</v>
      </c>
      <c r="F165" s="3" t="s">
        <v>18</v>
      </c>
      <c r="G165" s="3">
        <v>10</v>
      </c>
      <c r="H165" s="3">
        <v>10</v>
      </c>
      <c r="I165" s="9"/>
    </row>
    <row r="166" spans="1:9" ht="14" x14ac:dyDescent="0.3">
      <c r="A166" s="3">
        <f>IF(B165=1, MAX(A$7:A165)+1, A165)</f>
        <v>4</v>
      </c>
      <c r="B166" s="3">
        <v>62</v>
      </c>
      <c r="C166" s="11" t="s">
        <v>602</v>
      </c>
      <c r="D166" s="3">
        <v>-0.1</v>
      </c>
      <c r="E166" s="3">
        <v>0.1</v>
      </c>
      <c r="F166" s="3" t="s">
        <v>18</v>
      </c>
      <c r="G166" s="3">
        <v>10</v>
      </c>
      <c r="H166" s="3">
        <v>10</v>
      </c>
      <c r="I166" s="9"/>
    </row>
    <row r="167" spans="1:9" ht="14" x14ac:dyDescent="0.3">
      <c r="A167" s="3">
        <f>IF(B166=1, MAX(A$7:A166)+1, A166)</f>
        <v>4</v>
      </c>
      <c r="B167" s="3">
        <v>63</v>
      </c>
      <c r="C167" s="11" t="s">
        <v>603</v>
      </c>
      <c r="D167" s="3">
        <v>-0.1</v>
      </c>
      <c r="E167" s="3">
        <v>0.1</v>
      </c>
      <c r="F167" s="3" t="s">
        <v>18</v>
      </c>
      <c r="G167" s="3">
        <v>10</v>
      </c>
      <c r="H167" s="3">
        <v>10</v>
      </c>
      <c r="I167" s="9"/>
    </row>
    <row r="168" spans="1:9" ht="14" x14ac:dyDescent="0.3">
      <c r="A168" s="3">
        <f>IF(B167=1, MAX(A$7:A167)+1, A167)</f>
        <v>4</v>
      </c>
      <c r="B168" s="3">
        <v>64</v>
      </c>
      <c r="C168" s="11" t="s">
        <v>604</v>
      </c>
      <c r="D168" s="3">
        <v>-1</v>
      </c>
      <c r="E168" s="3">
        <v>1</v>
      </c>
      <c r="F168" s="3" t="s">
        <v>18</v>
      </c>
      <c r="G168" s="3">
        <v>10</v>
      </c>
      <c r="H168" s="3">
        <v>10</v>
      </c>
      <c r="I168" s="9"/>
    </row>
    <row r="169" spans="1:9" ht="14" x14ac:dyDescent="0.3">
      <c r="A169" s="3">
        <f>IF(B168=1, MAX(A$7:A168)+1, A168)</f>
        <v>4</v>
      </c>
      <c r="B169" s="3">
        <v>65</v>
      </c>
      <c r="C169" s="11" t="s">
        <v>605</v>
      </c>
      <c r="D169" s="3">
        <v>-1</v>
      </c>
      <c r="E169" s="3">
        <v>1</v>
      </c>
      <c r="F169" s="3" t="s">
        <v>18</v>
      </c>
      <c r="G169" s="3">
        <v>10</v>
      </c>
      <c r="H169" s="3">
        <v>10</v>
      </c>
      <c r="I169" s="9"/>
    </row>
    <row r="170" spans="1:9" ht="14" x14ac:dyDescent="0.3">
      <c r="A170" s="3">
        <f>IF(B169=1, MAX(A$7:A169)+1, A169)</f>
        <v>4</v>
      </c>
      <c r="B170" s="3">
        <v>66</v>
      </c>
      <c r="C170" s="11" t="s">
        <v>606</v>
      </c>
      <c r="D170" s="3">
        <v>-1</v>
      </c>
      <c r="E170" s="3">
        <v>1</v>
      </c>
      <c r="F170" s="3" t="s">
        <v>18</v>
      </c>
      <c r="G170" s="3">
        <v>10</v>
      </c>
      <c r="H170" s="3">
        <v>10</v>
      </c>
      <c r="I170" s="9"/>
    </row>
    <row r="171" spans="1:9" ht="14" x14ac:dyDescent="0.3">
      <c r="A171" s="3">
        <f>IF(B170=1, MAX(A$7:A170)+1, A170)</f>
        <v>4</v>
      </c>
      <c r="B171" s="3">
        <v>67</v>
      </c>
      <c r="C171" s="11" t="s">
        <v>607</v>
      </c>
      <c r="D171" s="3">
        <v>-1</v>
      </c>
      <c r="E171" s="3">
        <v>1</v>
      </c>
      <c r="F171" s="3" t="s">
        <v>18</v>
      </c>
      <c r="G171" s="3">
        <v>10</v>
      </c>
      <c r="H171" s="3">
        <v>10</v>
      </c>
      <c r="I171" s="9"/>
    </row>
    <row r="172" spans="1:9" ht="14" x14ac:dyDescent="0.3">
      <c r="A172" s="3">
        <f>IF(B171=1, MAX(A$7:A171)+1, A171)</f>
        <v>4</v>
      </c>
      <c r="B172" s="3">
        <v>68</v>
      </c>
      <c r="C172" s="11" t="s">
        <v>608</v>
      </c>
      <c r="D172" s="3">
        <v>-1</v>
      </c>
      <c r="E172" s="3">
        <v>1</v>
      </c>
      <c r="F172" s="3" t="s">
        <v>18</v>
      </c>
      <c r="G172" s="3">
        <v>10</v>
      </c>
      <c r="H172" s="3">
        <v>10</v>
      </c>
      <c r="I172" s="9"/>
    </row>
    <row r="173" spans="1:9" ht="14" x14ac:dyDescent="0.3">
      <c r="A173" s="3">
        <f>IF(B172=1, MAX(A$7:A172)+1, A172)</f>
        <v>4</v>
      </c>
      <c r="B173" s="3">
        <v>69</v>
      </c>
      <c r="C173" s="11" t="s">
        <v>609</v>
      </c>
      <c r="D173" s="3">
        <v>2</v>
      </c>
      <c r="E173" s="3">
        <v>12</v>
      </c>
      <c r="F173" s="3" t="s">
        <v>18</v>
      </c>
      <c r="G173" s="3">
        <v>10</v>
      </c>
      <c r="H173" s="3">
        <v>10</v>
      </c>
      <c r="I173" s="9"/>
    </row>
    <row r="174" spans="1:9" ht="14" x14ac:dyDescent="0.3">
      <c r="A174" s="3">
        <f>IF(B173=1, MAX(A$7:A173)+1, A173)</f>
        <v>4</v>
      </c>
      <c r="B174" s="3">
        <v>70</v>
      </c>
      <c r="C174" s="11" t="s">
        <v>610</v>
      </c>
      <c r="D174" s="3">
        <v>2</v>
      </c>
      <c r="E174" s="3">
        <v>12</v>
      </c>
      <c r="F174" s="3" t="s">
        <v>18</v>
      </c>
      <c r="G174" s="3">
        <v>10</v>
      </c>
      <c r="H174" s="3">
        <v>10</v>
      </c>
      <c r="I174" s="9"/>
    </row>
    <row r="175" spans="1:9" ht="14" x14ac:dyDescent="0.3">
      <c r="A175" s="3">
        <f>IF(B174=1, MAX(A$7:A174)+1, A174)</f>
        <v>4</v>
      </c>
      <c r="B175" s="3">
        <v>71</v>
      </c>
      <c r="C175" s="11" t="s">
        <v>611</v>
      </c>
      <c r="D175" s="3">
        <v>2</v>
      </c>
      <c r="E175" s="3">
        <v>12</v>
      </c>
      <c r="F175" s="3" t="s">
        <v>18</v>
      </c>
      <c r="G175" s="3">
        <v>10</v>
      </c>
      <c r="H175" s="3">
        <v>10</v>
      </c>
      <c r="I175" s="9"/>
    </row>
    <row r="176" spans="1:9" ht="14" x14ac:dyDescent="0.3">
      <c r="A176" s="3">
        <f>IF(B175=1, MAX(A$7:A175)+1, A175)</f>
        <v>4</v>
      </c>
      <c r="B176" s="3">
        <v>72</v>
      </c>
      <c r="C176" s="11" t="s">
        <v>612</v>
      </c>
      <c r="D176" s="3">
        <v>2</v>
      </c>
      <c r="E176" s="3">
        <v>12</v>
      </c>
      <c r="F176" s="3" t="s">
        <v>18</v>
      </c>
      <c r="G176" s="3">
        <v>10</v>
      </c>
      <c r="H176" s="3">
        <v>10</v>
      </c>
      <c r="I176" s="9"/>
    </row>
    <row r="177" spans="1:9" ht="14" x14ac:dyDescent="0.3">
      <c r="A177" s="3">
        <f>IF(B176=1, MAX(A$7:A176)+1, A176)</f>
        <v>4</v>
      </c>
      <c r="B177" s="3">
        <v>73</v>
      </c>
      <c r="C177" s="11" t="s">
        <v>613</v>
      </c>
      <c r="D177" s="3">
        <v>0.2</v>
      </c>
      <c r="E177" s="3">
        <v>5</v>
      </c>
      <c r="F177" s="3" t="s">
        <v>18</v>
      </c>
      <c r="G177" s="3">
        <v>10</v>
      </c>
      <c r="H177" s="3">
        <v>10</v>
      </c>
      <c r="I177" s="9"/>
    </row>
    <row r="178" spans="1:9" ht="14" x14ac:dyDescent="0.3">
      <c r="A178" s="3">
        <f>IF(B177=1, MAX(A$7:A177)+1, A177)</f>
        <v>4</v>
      </c>
      <c r="B178" s="3">
        <v>74</v>
      </c>
      <c r="C178" s="11" t="s">
        <v>614</v>
      </c>
      <c r="D178" s="3">
        <v>0.2</v>
      </c>
      <c r="E178" s="3">
        <v>5</v>
      </c>
      <c r="F178" s="3" t="s">
        <v>18</v>
      </c>
      <c r="G178" s="3">
        <v>10</v>
      </c>
      <c r="H178" s="3">
        <v>10</v>
      </c>
      <c r="I178" s="9"/>
    </row>
    <row r="179" spans="1:9" ht="14" x14ac:dyDescent="0.3">
      <c r="A179" s="3">
        <f>IF(B178=1, MAX(A$7:A178)+1, A178)</f>
        <v>4</v>
      </c>
      <c r="B179" s="3">
        <v>75</v>
      </c>
      <c r="C179" s="11" t="s">
        <v>615</v>
      </c>
      <c r="D179" s="3">
        <v>0.2</v>
      </c>
      <c r="E179" s="3">
        <v>5</v>
      </c>
      <c r="F179" s="3" t="s">
        <v>18</v>
      </c>
      <c r="G179" s="3">
        <v>10</v>
      </c>
      <c r="H179" s="3">
        <v>10</v>
      </c>
      <c r="I179" s="9"/>
    </row>
    <row r="180" spans="1:9" ht="14" x14ac:dyDescent="0.3">
      <c r="A180" s="3">
        <f>IF(B179=1, MAX(A$7:A179)+1, A179)</f>
        <v>4</v>
      </c>
      <c r="B180" s="3">
        <v>76</v>
      </c>
      <c r="C180" s="11" t="s">
        <v>616</v>
      </c>
      <c r="D180" s="3">
        <v>0.2</v>
      </c>
      <c r="E180" s="3">
        <v>5</v>
      </c>
      <c r="F180" s="3" t="s">
        <v>18</v>
      </c>
      <c r="G180" s="3">
        <v>10</v>
      </c>
      <c r="H180" s="3">
        <v>10</v>
      </c>
      <c r="I180" s="9"/>
    </row>
    <row r="181" spans="1:9" ht="14" x14ac:dyDescent="0.3">
      <c r="A181" s="3">
        <f>IF(B180=1, MAX(A$7:A180)+1, A180)</f>
        <v>4</v>
      </c>
      <c r="B181" s="3">
        <v>77</v>
      </c>
      <c r="C181" s="11" t="s">
        <v>617</v>
      </c>
      <c r="D181" s="3">
        <v>1</v>
      </c>
      <c r="E181" s="3">
        <v>3.5</v>
      </c>
      <c r="F181" s="3" t="s">
        <v>18</v>
      </c>
      <c r="G181" s="3">
        <v>10</v>
      </c>
      <c r="H181" s="3">
        <v>10</v>
      </c>
      <c r="I181" s="9"/>
    </row>
    <row r="182" spans="1:9" ht="14" x14ac:dyDescent="0.3">
      <c r="A182" s="3">
        <f>IF(B181=1, MAX(A$7:A181)+1, A181)</f>
        <v>4</v>
      </c>
      <c r="B182" s="3">
        <v>78</v>
      </c>
      <c r="C182" s="11" t="s">
        <v>618</v>
      </c>
      <c r="D182" s="3">
        <v>10</v>
      </c>
      <c r="E182" s="3">
        <v>30</v>
      </c>
      <c r="F182" s="3" t="s">
        <v>18</v>
      </c>
      <c r="G182" s="3">
        <v>10</v>
      </c>
      <c r="H182" s="3">
        <v>10</v>
      </c>
      <c r="I182" s="9"/>
    </row>
    <row r="183" spans="1:9" ht="14" x14ac:dyDescent="0.3">
      <c r="A183" s="3">
        <f>IF(B182=1, MAX(A$7:A182)+1, A182)</f>
        <v>4</v>
      </c>
      <c r="B183" s="3">
        <v>79</v>
      </c>
      <c r="C183" s="11" t="s">
        <v>619</v>
      </c>
      <c r="D183" s="3">
        <v>1</v>
      </c>
      <c r="E183" s="3">
        <v>5</v>
      </c>
      <c r="F183" s="3" t="s">
        <v>18</v>
      </c>
      <c r="G183" s="3">
        <v>10</v>
      </c>
      <c r="H183" s="3">
        <v>10</v>
      </c>
      <c r="I183" s="9"/>
    </row>
    <row r="184" spans="1:9" ht="14" x14ac:dyDescent="0.3">
      <c r="A184" s="3">
        <f>IF(B183=1, MAX(A$7:A183)+1, A183)</f>
        <v>4</v>
      </c>
      <c r="B184" s="3">
        <v>80</v>
      </c>
      <c r="C184" s="11" t="s">
        <v>620</v>
      </c>
      <c r="D184" s="3">
        <v>1</v>
      </c>
      <c r="E184" s="3">
        <v>5</v>
      </c>
      <c r="F184" s="3" t="s">
        <v>18</v>
      </c>
      <c r="G184" s="3">
        <v>10</v>
      </c>
      <c r="H184" s="3">
        <v>10</v>
      </c>
      <c r="I184" s="9"/>
    </row>
    <row r="185" spans="1:9" ht="14" x14ac:dyDescent="0.3">
      <c r="A185" s="3">
        <f>IF(B184=1, MAX(A$7:A184)+1, A184)</f>
        <v>4</v>
      </c>
      <c r="B185" s="3">
        <v>81</v>
      </c>
      <c r="C185" s="11" t="s">
        <v>621</v>
      </c>
      <c r="D185" s="3">
        <v>100</v>
      </c>
      <c r="E185" s="3">
        <v>170</v>
      </c>
      <c r="F185" s="3" t="s">
        <v>18</v>
      </c>
      <c r="G185" s="3">
        <v>10</v>
      </c>
      <c r="H185" s="3">
        <v>10</v>
      </c>
      <c r="I185" s="9"/>
    </row>
    <row r="186" spans="1:9" ht="14" x14ac:dyDescent="0.3">
      <c r="A186" s="3">
        <f>IF(B185=1, MAX(A$7:A185)+1, A185)</f>
        <v>4</v>
      </c>
      <c r="B186" s="3">
        <v>82</v>
      </c>
      <c r="C186" s="11" t="s">
        <v>622</v>
      </c>
      <c r="D186" s="3">
        <v>200</v>
      </c>
      <c r="E186" s="3">
        <v>1200</v>
      </c>
      <c r="F186" s="3" t="s">
        <v>18</v>
      </c>
      <c r="G186" s="3">
        <v>10</v>
      </c>
      <c r="H186" s="3">
        <v>10</v>
      </c>
      <c r="I186" s="9"/>
    </row>
    <row r="187" spans="1:9" ht="14" x14ac:dyDescent="0.3">
      <c r="A187" s="3">
        <f>IF(B186=1, MAX(A$7:A186)+1, A186)</f>
        <v>4</v>
      </c>
      <c r="B187" s="3">
        <v>83</v>
      </c>
      <c r="C187" s="11" t="s">
        <v>623</v>
      </c>
      <c r="D187" s="3">
        <v>500</v>
      </c>
      <c r="E187" s="3">
        <v>800</v>
      </c>
      <c r="F187" s="3" t="s">
        <v>18</v>
      </c>
      <c r="G187" s="3">
        <v>10</v>
      </c>
      <c r="H187" s="3">
        <v>10</v>
      </c>
      <c r="I187" s="9"/>
    </row>
    <row r="188" spans="1:9" ht="14" x14ac:dyDescent="0.3">
      <c r="A188" s="3">
        <f>IF(B187=1, MAX(A$7:A187)+1, A187)</f>
        <v>4</v>
      </c>
      <c r="B188" s="3">
        <v>84</v>
      </c>
      <c r="C188" s="11" t="s">
        <v>48</v>
      </c>
      <c r="D188" s="3">
        <v>-1</v>
      </c>
      <c r="E188" s="3">
        <v>1</v>
      </c>
      <c r="F188" s="3" t="s">
        <v>18</v>
      </c>
      <c r="G188" s="3">
        <v>10</v>
      </c>
      <c r="H188" s="3">
        <v>10</v>
      </c>
      <c r="I188" s="9"/>
    </row>
    <row r="189" spans="1:9" ht="14" x14ac:dyDescent="0.3">
      <c r="A189" s="3">
        <f>IF(B188=1, MAX(A$7:A188)+1, A188)</f>
        <v>4</v>
      </c>
      <c r="B189" s="3">
        <v>85</v>
      </c>
      <c r="C189" s="11" t="s">
        <v>624</v>
      </c>
      <c r="D189" s="3">
        <v>1</v>
      </c>
      <c r="E189" s="3">
        <v>5</v>
      </c>
      <c r="F189" s="3" t="s">
        <v>18</v>
      </c>
      <c r="G189" s="3">
        <v>10</v>
      </c>
      <c r="H189" s="3">
        <v>10</v>
      </c>
      <c r="I189" s="9"/>
    </row>
    <row r="190" spans="1:9" ht="14" x14ac:dyDescent="0.3">
      <c r="A190" s="3">
        <f>IF(B189=1, MAX(A$7:A189)+1, A189)</f>
        <v>4</v>
      </c>
      <c r="B190" s="3">
        <v>86</v>
      </c>
      <c r="C190" s="11" t="s">
        <v>625</v>
      </c>
      <c r="D190" s="3">
        <v>1</v>
      </c>
      <c r="E190" s="3">
        <v>5</v>
      </c>
      <c r="F190" s="3" t="s">
        <v>18</v>
      </c>
      <c r="G190" s="3">
        <v>10</v>
      </c>
      <c r="H190" s="3">
        <v>10</v>
      </c>
      <c r="I190" s="9"/>
    </row>
    <row r="191" spans="1:9" ht="14" x14ac:dyDescent="0.3">
      <c r="A191" s="3">
        <f>IF(B190=1, MAX(A$7:A190)+1, A190)</f>
        <v>4</v>
      </c>
      <c r="B191" s="3">
        <v>87</v>
      </c>
      <c r="C191" s="11" t="s">
        <v>626</v>
      </c>
      <c r="D191" s="3">
        <v>2000</v>
      </c>
      <c r="E191" s="3">
        <v>2500</v>
      </c>
      <c r="F191" s="3" t="s">
        <v>18</v>
      </c>
      <c r="G191" s="3">
        <v>10</v>
      </c>
      <c r="H191" s="3">
        <v>10</v>
      </c>
      <c r="I191" s="9"/>
    </row>
    <row r="192" spans="1:9" ht="14" x14ac:dyDescent="0.3">
      <c r="A192" s="3">
        <f>IF(B191=1, MAX(A$7:A191)+1, A191)</f>
        <v>4</v>
      </c>
      <c r="B192" s="3">
        <v>88</v>
      </c>
      <c r="C192" s="11" t="s">
        <v>627</v>
      </c>
      <c r="D192" s="3">
        <v>2000</v>
      </c>
      <c r="E192" s="3">
        <v>2500</v>
      </c>
      <c r="F192" s="3" t="s">
        <v>18</v>
      </c>
      <c r="G192" s="3">
        <v>10</v>
      </c>
      <c r="H192" s="3">
        <v>10</v>
      </c>
      <c r="I192" s="9"/>
    </row>
    <row r="193" spans="1:9" ht="14" x14ac:dyDescent="0.3">
      <c r="A193" s="3">
        <f>IF(B192=1, MAX(A$7:A192)+1, A192)</f>
        <v>4</v>
      </c>
      <c r="B193" s="3">
        <v>89</v>
      </c>
      <c r="C193" s="11" t="s">
        <v>628</v>
      </c>
      <c r="D193" s="3">
        <v>250</v>
      </c>
      <c r="E193" s="3">
        <v>500</v>
      </c>
      <c r="F193" s="3" t="s">
        <v>18</v>
      </c>
      <c r="G193" s="3">
        <v>10</v>
      </c>
      <c r="H193" s="3">
        <v>10</v>
      </c>
      <c r="I193" s="9"/>
    </row>
    <row r="194" spans="1:9" ht="14" x14ac:dyDescent="0.3">
      <c r="A194" s="3">
        <f>IF(B193=1, MAX(A$7:A193)+1, A193)</f>
        <v>4</v>
      </c>
      <c r="B194" s="3">
        <v>90</v>
      </c>
      <c r="C194" s="11" t="s">
        <v>629</v>
      </c>
      <c r="D194" s="3">
        <v>250</v>
      </c>
      <c r="E194" s="3">
        <v>500</v>
      </c>
      <c r="F194" s="3" t="s">
        <v>18</v>
      </c>
      <c r="G194" s="3">
        <v>10</v>
      </c>
      <c r="H194" s="3">
        <v>10</v>
      </c>
      <c r="I194" s="9"/>
    </row>
    <row r="195" spans="1:9" ht="14" x14ac:dyDescent="0.3">
      <c r="A195" s="3">
        <f>IF(B194=1, MAX(A$7:A194)+1, A194)</f>
        <v>4</v>
      </c>
      <c r="B195" s="3">
        <v>91</v>
      </c>
      <c r="C195" s="11" t="s">
        <v>630</v>
      </c>
      <c r="D195" s="3">
        <v>300</v>
      </c>
      <c r="E195" s="3">
        <v>600</v>
      </c>
      <c r="F195" s="3" t="s">
        <v>18</v>
      </c>
      <c r="G195" s="3">
        <v>10</v>
      </c>
      <c r="H195" s="3">
        <v>10</v>
      </c>
      <c r="I195" s="9"/>
    </row>
    <row r="196" spans="1:9" ht="14" x14ac:dyDescent="0.3">
      <c r="A196" s="3">
        <f>IF(B195=1, MAX(A$7:A195)+1, A195)</f>
        <v>4</v>
      </c>
      <c r="B196" s="3">
        <v>92</v>
      </c>
      <c r="C196" s="11" t="s">
        <v>631</v>
      </c>
      <c r="D196" s="3">
        <v>300</v>
      </c>
      <c r="E196" s="3">
        <v>600</v>
      </c>
      <c r="F196" s="3" t="s">
        <v>18</v>
      </c>
      <c r="G196" s="3">
        <v>10</v>
      </c>
      <c r="H196" s="3">
        <v>10</v>
      </c>
      <c r="I196" s="9"/>
    </row>
    <row r="197" spans="1:9" ht="14" x14ac:dyDescent="0.3">
      <c r="A197" s="3">
        <f>IF(B196=1, MAX(A$7:A196)+1, A196)</f>
        <v>4</v>
      </c>
      <c r="B197" s="3">
        <v>93</v>
      </c>
      <c r="C197" s="11" t="s">
        <v>632</v>
      </c>
      <c r="D197" s="3">
        <v>300</v>
      </c>
      <c r="E197" s="3">
        <v>600</v>
      </c>
      <c r="F197" s="3" t="s">
        <v>18</v>
      </c>
      <c r="G197" s="3">
        <v>10</v>
      </c>
      <c r="H197" s="3">
        <v>10</v>
      </c>
      <c r="I197" s="9"/>
    </row>
    <row r="198" spans="1:9" ht="14" x14ac:dyDescent="0.3">
      <c r="A198" s="3">
        <f>IF(B197=1, MAX(A$7:A197)+1, A197)</f>
        <v>4</v>
      </c>
      <c r="B198" s="3">
        <v>94</v>
      </c>
      <c r="C198" s="11" t="s">
        <v>633</v>
      </c>
      <c r="D198" s="3">
        <v>5</v>
      </c>
      <c r="E198" s="3">
        <v>950</v>
      </c>
      <c r="F198" s="3" t="s">
        <v>18</v>
      </c>
      <c r="G198" s="3">
        <v>11</v>
      </c>
      <c r="H198" s="3">
        <v>11</v>
      </c>
      <c r="I198" s="9"/>
    </row>
    <row r="199" spans="1:9" ht="14" x14ac:dyDescent="0.3">
      <c r="A199" s="3">
        <f>IF(B198=1, MAX(A$7:A198)+1, A198)</f>
        <v>4</v>
      </c>
      <c r="B199" s="3">
        <v>95</v>
      </c>
      <c r="C199" s="11" t="s">
        <v>634</v>
      </c>
      <c r="D199" s="3">
        <v>5</v>
      </c>
      <c r="E199" s="3">
        <v>950</v>
      </c>
      <c r="F199" s="3" t="s">
        <v>18</v>
      </c>
      <c r="G199" s="3">
        <v>11</v>
      </c>
      <c r="H199" s="3">
        <v>11</v>
      </c>
      <c r="I199" s="9"/>
    </row>
    <row r="200" spans="1:9" ht="14" x14ac:dyDescent="0.3">
      <c r="A200" s="3">
        <f>IF(B199=1, MAX(A$7:A199)+1, A199)</f>
        <v>4</v>
      </c>
      <c r="B200" s="3">
        <v>96</v>
      </c>
      <c r="C200" s="11" t="s">
        <v>635</v>
      </c>
      <c r="D200" s="3">
        <v>5</v>
      </c>
      <c r="E200" s="3">
        <v>950</v>
      </c>
      <c r="F200" s="3" t="s">
        <v>18</v>
      </c>
      <c r="G200" s="3">
        <v>11</v>
      </c>
      <c r="H200" s="3">
        <v>11</v>
      </c>
      <c r="I200" s="9"/>
    </row>
    <row r="201" spans="1:9" ht="14" x14ac:dyDescent="0.3">
      <c r="A201" s="3">
        <f>IF(B200=1, MAX(A$7:A200)+1, A200)</f>
        <v>4</v>
      </c>
      <c r="B201" s="3">
        <v>97</v>
      </c>
      <c r="C201" s="11" t="s">
        <v>636</v>
      </c>
      <c r="D201" s="3">
        <v>5</v>
      </c>
      <c r="E201" s="3">
        <v>950</v>
      </c>
      <c r="F201" s="3" t="s">
        <v>18</v>
      </c>
      <c r="G201" s="3">
        <v>11</v>
      </c>
      <c r="H201" s="3">
        <v>11</v>
      </c>
      <c r="I201" s="9"/>
    </row>
    <row r="202" spans="1:9" ht="14" x14ac:dyDescent="0.3">
      <c r="A202" s="3">
        <f>IF(B201=1, MAX(A$7:A201)+1, A201)</f>
        <v>4</v>
      </c>
      <c r="B202" s="3">
        <v>98</v>
      </c>
      <c r="C202" s="11" t="s">
        <v>637</v>
      </c>
      <c r="D202" s="3">
        <v>0.5</v>
      </c>
      <c r="E202" s="3">
        <v>950</v>
      </c>
      <c r="F202" s="3" t="s">
        <v>18</v>
      </c>
      <c r="G202" s="3">
        <v>11</v>
      </c>
      <c r="H202" s="3">
        <v>11</v>
      </c>
      <c r="I202" s="9"/>
    </row>
    <row r="203" spans="1:9" ht="14" x14ac:dyDescent="0.3">
      <c r="A203" s="3">
        <f>IF(B202=1, MAX(A$7:A202)+1, A202)</f>
        <v>4</v>
      </c>
      <c r="B203" s="3">
        <v>99</v>
      </c>
      <c r="C203" s="11" t="s">
        <v>638</v>
      </c>
      <c r="D203" s="3">
        <v>0.5</v>
      </c>
      <c r="E203" s="3">
        <v>950</v>
      </c>
      <c r="F203" s="3" t="s">
        <v>18</v>
      </c>
      <c r="G203" s="3">
        <v>11</v>
      </c>
      <c r="H203" s="3">
        <v>11</v>
      </c>
      <c r="I203" s="9"/>
    </row>
    <row r="204" spans="1:9" ht="14" x14ac:dyDescent="0.3">
      <c r="A204" s="3">
        <f>IF(B203=1, MAX(A$7:A203)+1, A203)</f>
        <v>4</v>
      </c>
      <c r="B204" s="3">
        <v>100</v>
      </c>
      <c r="C204" s="11" t="s">
        <v>639</v>
      </c>
      <c r="D204" s="3">
        <v>0.5</v>
      </c>
      <c r="E204" s="3">
        <v>950</v>
      </c>
      <c r="F204" s="3" t="s">
        <v>18</v>
      </c>
      <c r="G204" s="3">
        <v>11</v>
      </c>
      <c r="H204" s="3">
        <v>11</v>
      </c>
      <c r="I204" s="9"/>
    </row>
    <row r="205" spans="1:9" ht="14" x14ac:dyDescent="0.3">
      <c r="A205" s="3">
        <f>IF(B204=1, MAX(A$7:A204)+1, A204)</f>
        <v>4</v>
      </c>
      <c r="B205" s="3">
        <v>101</v>
      </c>
      <c r="C205" s="11" t="s">
        <v>640</v>
      </c>
      <c r="D205" s="3">
        <v>0.5</v>
      </c>
      <c r="E205" s="3">
        <v>950</v>
      </c>
      <c r="F205" s="3" t="s">
        <v>18</v>
      </c>
      <c r="G205" s="3">
        <v>11</v>
      </c>
      <c r="H205" s="3">
        <v>11</v>
      </c>
      <c r="I205" s="9"/>
    </row>
    <row r="206" spans="1:9" ht="14" x14ac:dyDescent="0.3">
      <c r="A206" s="3">
        <f>IF(B205=1, MAX(A$7:A205)+1, A205)</f>
        <v>4</v>
      </c>
      <c r="B206" s="3">
        <v>102</v>
      </c>
      <c r="C206" s="11" t="s">
        <v>641</v>
      </c>
      <c r="D206" s="3">
        <v>1</v>
      </c>
      <c r="E206" s="3">
        <v>6</v>
      </c>
      <c r="F206" s="3" t="s">
        <v>18</v>
      </c>
      <c r="G206" s="3">
        <v>11</v>
      </c>
      <c r="H206" s="3">
        <v>11</v>
      </c>
      <c r="I206" s="9"/>
    </row>
    <row r="207" spans="1:9" ht="14" x14ac:dyDescent="0.3">
      <c r="A207" s="3">
        <f>IF(B206=1, MAX(A$7:A206)+1, A206)</f>
        <v>4</v>
      </c>
      <c r="B207" s="3">
        <v>103</v>
      </c>
      <c r="C207" s="11" t="s">
        <v>642</v>
      </c>
      <c r="D207" s="3">
        <v>13</v>
      </c>
      <c r="E207" s="3">
        <v>33</v>
      </c>
      <c r="F207" s="3" t="s">
        <v>18</v>
      </c>
      <c r="G207" s="3">
        <v>11</v>
      </c>
      <c r="H207" s="3">
        <v>11</v>
      </c>
      <c r="I207" s="9"/>
    </row>
    <row r="208" spans="1:9" ht="14" x14ac:dyDescent="0.3">
      <c r="A208" s="3">
        <f>IF(B207=1, MAX(A$7:A207)+1, A207)</f>
        <v>4</v>
      </c>
      <c r="B208" s="3">
        <v>104</v>
      </c>
      <c r="C208" s="11" t="s">
        <v>643</v>
      </c>
      <c r="D208" s="3">
        <v>2</v>
      </c>
      <c r="E208" s="3">
        <v>8</v>
      </c>
      <c r="F208" s="3" t="s">
        <v>18</v>
      </c>
      <c r="G208" s="3">
        <v>11</v>
      </c>
      <c r="H208" s="3">
        <v>11</v>
      </c>
      <c r="I208" s="9"/>
    </row>
    <row r="209" spans="1:9" ht="14" x14ac:dyDescent="0.3">
      <c r="A209" s="3">
        <f>IF(B208=1, MAX(A$7:A208)+1, A208)</f>
        <v>4</v>
      </c>
      <c r="B209" s="3">
        <v>105</v>
      </c>
      <c r="C209" s="11" t="s">
        <v>644</v>
      </c>
      <c r="D209" s="3">
        <v>2</v>
      </c>
      <c r="E209" s="3">
        <v>8</v>
      </c>
      <c r="F209" s="3" t="s">
        <v>18</v>
      </c>
      <c r="G209" s="3">
        <v>11</v>
      </c>
      <c r="H209" s="3">
        <v>11</v>
      </c>
      <c r="I209" s="9"/>
    </row>
    <row r="210" spans="1:9" ht="14" x14ac:dyDescent="0.3">
      <c r="A210" s="3">
        <f>IF(B209=1, MAX(A$7:A209)+1, A209)</f>
        <v>4</v>
      </c>
      <c r="B210" s="3">
        <v>106</v>
      </c>
      <c r="C210" s="11" t="s">
        <v>645</v>
      </c>
      <c r="D210" s="3">
        <v>220</v>
      </c>
      <c r="E210" s="3">
        <v>420</v>
      </c>
      <c r="F210" s="3" t="s">
        <v>18</v>
      </c>
      <c r="G210" s="3">
        <v>11</v>
      </c>
      <c r="H210" s="3">
        <v>11</v>
      </c>
      <c r="I210" s="9"/>
    </row>
    <row r="211" spans="1:9" ht="14" x14ac:dyDescent="0.3">
      <c r="A211" s="3">
        <f>IF(B210=1, MAX(A$7:A210)+1, A210)</f>
        <v>4</v>
      </c>
      <c r="B211" s="3">
        <v>107</v>
      </c>
      <c r="C211" s="11" t="s">
        <v>646</v>
      </c>
      <c r="D211" s="3">
        <v>1500</v>
      </c>
      <c r="E211" s="3">
        <v>2500</v>
      </c>
      <c r="F211" s="3" t="s">
        <v>18</v>
      </c>
      <c r="G211" s="3">
        <v>11</v>
      </c>
      <c r="H211" s="3">
        <v>11</v>
      </c>
      <c r="I211" s="9"/>
    </row>
    <row r="212" spans="1:9" ht="14" x14ac:dyDescent="0.3">
      <c r="A212" s="3">
        <f>IF(B211=1, MAX(A$7:A211)+1, A211)</f>
        <v>4</v>
      </c>
      <c r="B212" s="3">
        <v>108</v>
      </c>
      <c r="C212" s="11" t="s">
        <v>647</v>
      </c>
      <c r="D212" s="3">
        <v>900</v>
      </c>
      <c r="E212" s="3">
        <v>1200</v>
      </c>
      <c r="F212" s="3" t="s">
        <v>18</v>
      </c>
      <c r="G212" s="3">
        <v>11</v>
      </c>
      <c r="H212" s="3">
        <v>11</v>
      </c>
      <c r="I212" s="9"/>
    </row>
    <row r="213" spans="1:9" ht="14" x14ac:dyDescent="0.3">
      <c r="A213" s="3">
        <f>IF(B212=1, MAX(A$7:A212)+1, A212)</f>
        <v>4</v>
      </c>
      <c r="B213" s="3">
        <v>109</v>
      </c>
      <c r="C213" s="11" t="s">
        <v>49</v>
      </c>
      <c r="D213" s="3">
        <v>-2</v>
      </c>
      <c r="E213" s="3">
        <v>2</v>
      </c>
      <c r="F213" s="3" t="s">
        <v>18</v>
      </c>
      <c r="G213" s="3">
        <v>11</v>
      </c>
      <c r="H213" s="3">
        <v>11</v>
      </c>
      <c r="I213" s="9"/>
    </row>
    <row r="214" spans="1:9" ht="14" x14ac:dyDescent="0.3">
      <c r="A214" s="3">
        <f>IF(B213=1, MAX(A$7:A213)+1, A213)</f>
        <v>4</v>
      </c>
      <c r="B214" s="3">
        <v>110</v>
      </c>
      <c r="C214" s="11" t="s">
        <v>648</v>
      </c>
      <c r="D214" s="3">
        <v>2</v>
      </c>
      <c r="E214" s="3">
        <v>8</v>
      </c>
      <c r="F214" s="3" t="s">
        <v>18</v>
      </c>
      <c r="G214" s="3">
        <v>11</v>
      </c>
      <c r="H214" s="3">
        <v>11</v>
      </c>
      <c r="I214" s="9"/>
    </row>
    <row r="215" spans="1:9" ht="14" x14ac:dyDescent="0.3">
      <c r="A215" s="3">
        <f>IF(B214=1, MAX(A$7:A214)+1, A214)</f>
        <v>4</v>
      </c>
      <c r="B215" s="3">
        <v>111</v>
      </c>
      <c r="C215" s="11" t="s">
        <v>649</v>
      </c>
      <c r="D215" s="3">
        <v>2</v>
      </c>
      <c r="E215" s="3">
        <v>8</v>
      </c>
      <c r="F215" s="3" t="s">
        <v>18</v>
      </c>
      <c r="G215" s="3">
        <v>11</v>
      </c>
      <c r="H215" s="3">
        <v>11</v>
      </c>
      <c r="I215" s="9"/>
    </row>
    <row r="216" spans="1:9" ht="14" x14ac:dyDescent="0.3">
      <c r="A216" s="3">
        <f>IF(B215=1, MAX(A$7:A215)+1, A215)</f>
        <v>4</v>
      </c>
      <c r="B216" s="3">
        <v>112</v>
      </c>
      <c r="C216" s="11" t="s">
        <v>650</v>
      </c>
      <c r="D216" s="3">
        <v>4500</v>
      </c>
      <c r="E216" s="3">
        <v>6000</v>
      </c>
      <c r="F216" s="3" t="s">
        <v>18</v>
      </c>
      <c r="G216" s="3">
        <v>11</v>
      </c>
      <c r="H216" s="3">
        <v>11</v>
      </c>
      <c r="I216" s="9"/>
    </row>
    <row r="217" spans="1:9" ht="14" x14ac:dyDescent="0.3">
      <c r="A217" s="3">
        <f>IF(B216=1, MAX(A$7:A216)+1, A216)</f>
        <v>4</v>
      </c>
      <c r="B217" s="3">
        <v>113</v>
      </c>
      <c r="C217" s="11" t="s">
        <v>651</v>
      </c>
      <c r="D217" s="3">
        <v>4500</v>
      </c>
      <c r="E217" s="3">
        <v>6000</v>
      </c>
      <c r="F217" s="3" t="s">
        <v>18</v>
      </c>
      <c r="G217" s="3">
        <v>11</v>
      </c>
      <c r="H217" s="3">
        <v>11</v>
      </c>
      <c r="I217" s="9"/>
    </row>
    <row r="218" spans="1:9" ht="14" x14ac:dyDescent="0.3">
      <c r="A218" s="3">
        <f>IF(B217=1, MAX(A$7:A217)+1, A217)</f>
        <v>4</v>
      </c>
      <c r="B218" s="3">
        <v>114</v>
      </c>
      <c r="C218" s="11" t="s">
        <v>652</v>
      </c>
      <c r="D218" s="3">
        <v>700</v>
      </c>
      <c r="E218" s="3">
        <v>1100</v>
      </c>
      <c r="F218" s="3" t="s">
        <v>18</v>
      </c>
      <c r="G218" s="3">
        <v>11</v>
      </c>
      <c r="H218" s="3">
        <v>11</v>
      </c>
      <c r="I218" s="9"/>
    </row>
    <row r="219" spans="1:9" ht="14" x14ac:dyDescent="0.3">
      <c r="A219" s="3">
        <f>IF(B218=1, MAX(A$7:A218)+1, A218)</f>
        <v>4</v>
      </c>
      <c r="B219" s="3">
        <v>115</v>
      </c>
      <c r="C219" s="11" t="s">
        <v>653</v>
      </c>
      <c r="D219" s="3">
        <v>700</v>
      </c>
      <c r="E219" s="3">
        <v>1100</v>
      </c>
      <c r="F219" s="3" t="s">
        <v>18</v>
      </c>
      <c r="G219" s="3">
        <v>11</v>
      </c>
      <c r="H219" s="3">
        <v>11</v>
      </c>
      <c r="I219" s="9"/>
    </row>
    <row r="220" spans="1:9" ht="14" x14ac:dyDescent="0.3">
      <c r="A220" s="3">
        <f>IF(B219=1, MAX(A$7:A219)+1, A219)</f>
        <v>4</v>
      </c>
      <c r="B220" s="3">
        <v>116</v>
      </c>
      <c r="C220" s="11" t="s">
        <v>654</v>
      </c>
      <c r="D220" s="3">
        <v>900</v>
      </c>
      <c r="E220" s="3">
        <v>1300</v>
      </c>
      <c r="F220" s="3" t="s">
        <v>18</v>
      </c>
      <c r="G220" s="3">
        <v>11</v>
      </c>
      <c r="H220" s="3">
        <v>11</v>
      </c>
      <c r="I220" s="9"/>
    </row>
    <row r="221" spans="1:9" ht="14" x14ac:dyDescent="0.3">
      <c r="A221" s="3">
        <f>IF(B220=1, MAX(A$7:A220)+1, A220)</f>
        <v>4</v>
      </c>
      <c r="B221" s="3">
        <v>117</v>
      </c>
      <c r="C221" s="11" t="s">
        <v>655</v>
      </c>
      <c r="D221" s="3">
        <v>900</v>
      </c>
      <c r="E221" s="3">
        <v>1300</v>
      </c>
      <c r="F221" s="3" t="s">
        <v>18</v>
      </c>
      <c r="G221" s="3">
        <v>11</v>
      </c>
      <c r="H221" s="3">
        <v>11</v>
      </c>
      <c r="I221" s="9"/>
    </row>
    <row r="222" spans="1:9" ht="14" x14ac:dyDescent="0.3">
      <c r="A222" s="3">
        <f>IF(B221=1, MAX(A$7:A221)+1, A221)</f>
        <v>4</v>
      </c>
      <c r="B222" s="3">
        <v>118</v>
      </c>
      <c r="C222" s="11" t="s">
        <v>656</v>
      </c>
      <c r="D222" s="3">
        <v>1150</v>
      </c>
      <c r="E222" s="3">
        <v>1750</v>
      </c>
      <c r="F222" s="3" t="s">
        <v>18</v>
      </c>
      <c r="G222" s="3">
        <v>11</v>
      </c>
      <c r="H222" s="3">
        <v>11</v>
      </c>
      <c r="I222" s="9"/>
    </row>
    <row r="223" spans="1:9" ht="14" x14ac:dyDescent="0.3">
      <c r="A223" s="3">
        <f>IF(B222=1, MAX(A$7:A222)+1, A222)</f>
        <v>4</v>
      </c>
      <c r="B223" s="3">
        <v>119</v>
      </c>
      <c r="C223" s="11" t="s">
        <v>657</v>
      </c>
      <c r="D223" s="3">
        <v>2</v>
      </c>
      <c r="E223" s="3">
        <v>12</v>
      </c>
      <c r="F223" s="3" t="s">
        <v>18</v>
      </c>
      <c r="G223" s="3">
        <v>10</v>
      </c>
      <c r="H223" s="3">
        <v>10</v>
      </c>
      <c r="I223" s="9"/>
    </row>
    <row r="224" spans="1:9" ht="14" x14ac:dyDescent="0.3">
      <c r="A224" s="3">
        <f>IF(B223=1, MAX(A$7:A223)+1, A223)</f>
        <v>4</v>
      </c>
      <c r="B224" s="3">
        <v>120</v>
      </c>
      <c r="C224" s="11" t="s">
        <v>658</v>
      </c>
      <c r="D224" s="3">
        <v>2</v>
      </c>
      <c r="E224" s="3">
        <v>12</v>
      </c>
      <c r="F224" s="3" t="s">
        <v>18</v>
      </c>
      <c r="G224" s="3">
        <v>10</v>
      </c>
      <c r="H224" s="3">
        <v>10</v>
      </c>
      <c r="I224" s="9"/>
    </row>
    <row r="225" spans="1:9" ht="14" x14ac:dyDescent="0.3">
      <c r="A225" s="3">
        <f>IF(B224=1, MAX(A$7:A224)+1, A224)</f>
        <v>4</v>
      </c>
      <c r="B225" s="3">
        <v>121</v>
      </c>
      <c r="C225" s="11" t="s">
        <v>659</v>
      </c>
      <c r="D225" s="3">
        <v>2</v>
      </c>
      <c r="E225" s="3">
        <v>12</v>
      </c>
      <c r="F225" s="3" t="s">
        <v>18</v>
      </c>
      <c r="G225" s="3">
        <v>10</v>
      </c>
      <c r="H225" s="3">
        <v>10</v>
      </c>
      <c r="I225" s="9"/>
    </row>
    <row r="226" spans="1:9" ht="14" x14ac:dyDescent="0.3">
      <c r="A226" s="3">
        <f>IF(B225=1, MAX(A$7:A225)+1, A225)</f>
        <v>4</v>
      </c>
      <c r="B226" s="3">
        <v>122</v>
      </c>
      <c r="C226" s="11" t="s">
        <v>660</v>
      </c>
      <c r="D226" s="3">
        <v>2</v>
      </c>
      <c r="E226" s="3">
        <v>12</v>
      </c>
      <c r="F226" s="3" t="s">
        <v>18</v>
      </c>
      <c r="G226" s="3">
        <v>10</v>
      </c>
      <c r="H226" s="3">
        <v>10</v>
      </c>
      <c r="I226" s="9"/>
    </row>
    <row r="227" spans="1:9" ht="14" x14ac:dyDescent="0.3">
      <c r="A227" s="3">
        <f>IF(B226=1, MAX(A$7:A226)+1, A226)</f>
        <v>4</v>
      </c>
      <c r="B227" s="3">
        <v>123</v>
      </c>
      <c r="C227" s="11" t="s">
        <v>661</v>
      </c>
      <c r="D227" s="3">
        <v>0.2</v>
      </c>
      <c r="E227" s="3">
        <v>5</v>
      </c>
      <c r="F227" s="3" t="s">
        <v>18</v>
      </c>
      <c r="G227" s="3">
        <v>10</v>
      </c>
      <c r="H227" s="3">
        <v>10</v>
      </c>
      <c r="I227" s="9"/>
    </row>
    <row r="228" spans="1:9" ht="14" x14ac:dyDescent="0.3">
      <c r="A228" s="3">
        <f>IF(B227=1, MAX(A$7:A227)+1, A227)</f>
        <v>4</v>
      </c>
      <c r="B228" s="3">
        <v>124</v>
      </c>
      <c r="C228" s="11" t="s">
        <v>662</v>
      </c>
      <c r="D228" s="3">
        <v>0.2</v>
      </c>
      <c r="E228" s="3">
        <v>5</v>
      </c>
      <c r="F228" s="3" t="s">
        <v>18</v>
      </c>
      <c r="G228" s="3">
        <v>10</v>
      </c>
      <c r="H228" s="3">
        <v>10</v>
      </c>
      <c r="I228" s="9"/>
    </row>
    <row r="229" spans="1:9" ht="14" x14ac:dyDescent="0.3">
      <c r="A229" s="3">
        <f>IF(B228=1, MAX(A$7:A228)+1, A228)</f>
        <v>4</v>
      </c>
      <c r="B229" s="3">
        <v>125</v>
      </c>
      <c r="C229" s="11" t="s">
        <v>663</v>
      </c>
      <c r="D229" s="3">
        <v>0.2</v>
      </c>
      <c r="E229" s="3">
        <v>5</v>
      </c>
      <c r="F229" s="3" t="s">
        <v>18</v>
      </c>
      <c r="G229" s="3">
        <v>10</v>
      </c>
      <c r="H229" s="3">
        <v>10</v>
      </c>
      <c r="I229" s="9"/>
    </row>
    <row r="230" spans="1:9" ht="14" x14ac:dyDescent="0.3">
      <c r="A230" s="3">
        <f>IF(B229=1, MAX(A$7:A229)+1, A229)</f>
        <v>4</v>
      </c>
      <c r="B230" s="3">
        <v>126</v>
      </c>
      <c r="C230" s="11" t="s">
        <v>664</v>
      </c>
      <c r="D230" s="3">
        <v>0.2</v>
      </c>
      <c r="E230" s="3">
        <v>5</v>
      </c>
      <c r="F230" s="3" t="s">
        <v>18</v>
      </c>
      <c r="G230" s="3">
        <v>10</v>
      </c>
      <c r="H230" s="3">
        <v>10</v>
      </c>
      <c r="I230" s="9"/>
    </row>
    <row r="231" spans="1:9" ht="14" x14ac:dyDescent="0.3">
      <c r="A231" s="3">
        <f>IF(B230=1, MAX(A$7:A230)+1, A230)</f>
        <v>4</v>
      </c>
      <c r="B231" s="3">
        <v>127</v>
      </c>
      <c r="C231" s="11" t="s">
        <v>665</v>
      </c>
      <c r="D231" s="3">
        <v>1</v>
      </c>
      <c r="E231" s="3">
        <v>3.5</v>
      </c>
      <c r="F231" s="3" t="s">
        <v>18</v>
      </c>
      <c r="G231" s="3">
        <v>10</v>
      </c>
      <c r="H231" s="3">
        <v>10</v>
      </c>
      <c r="I231" s="9"/>
    </row>
    <row r="232" spans="1:9" ht="14" x14ac:dyDescent="0.3">
      <c r="A232" s="3">
        <f>IF(B231=1, MAX(A$7:A231)+1, A231)</f>
        <v>4</v>
      </c>
      <c r="B232" s="3">
        <v>128</v>
      </c>
      <c r="C232" s="11" t="s">
        <v>666</v>
      </c>
      <c r="D232" s="3">
        <v>10</v>
      </c>
      <c r="E232" s="3">
        <v>30</v>
      </c>
      <c r="F232" s="3" t="s">
        <v>18</v>
      </c>
      <c r="G232" s="3">
        <v>10</v>
      </c>
      <c r="H232" s="3">
        <v>10</v>
      </c>
      <c r="I232" s="9"/>
    </row>
    <row r="233" spans="1:9" ht="14" x14ac:dyDescent="0.3">
      <c r="A233" s="3">
        <f>IF(B232=1, MAX(A$7:A232)+1, A232)</f>
        <v>4</v>
      </c>
      <c r="B233" s="3">
        <v>129</v>
      </c>
      <c r="C233" s="11" t="s">
        <v>667</v>
      </c>
      <c r="D233" s="3">
        <v>1</v>
      </c>
      <c r="E233" s="3">
        <v>5</v>
      </c>
      <c r="F233" s="3" t="s">
        <v>18</v>
      </c>
      <c r="G233" s="3">
        <v>10</v>
      </c>
      <c r="H233" s="3">
        <v>10</v>
      </c>
      <c r="I233" s="9"/>
    </row>
    <row r="234" spans="1:9" ht="14" x14ac:dyDescent="0.3">
      <c r="A234" s="3">
        <f>IF(B233=1, MAX(A$7:A233)+1, A233)</f>
        <v>4</v>
      </c>
      <c r="B234" s="3">
        <v>130</v>
      </c>
      <c r="C234" s="11" t="s">
        <v>668</v>
      </c>
      <c r="D234" s="3">
        <v>1</v>
      </c>
      <c r="E234" s="3">
        <v>5</v>
      </c>
      <c r="F234" s="3" t="s">
        <v>18</v>
      </c>
      <c r="G234" s="3">
        <v>10</v>
      </c>
      <c r="H234" s="3">
        <v>10</v>
      </c>
      <c r="I234" s="9"/>
    </row>
    <row r="235" spans="1:9" ht="14" x14ac:dyDescent="0.3">
      <c r="A235" s="3">
        <f>IF(B234=1, MAX(A$7:A234)+1, A234)</f>
        <v>4</v>
      </c>
      <c r="B235" s="3">
        <v>131</v>
      </c>
      <c r="C235" s="11" t="s">
        <v>669</v>
      </c>
      <c r="D235" s="3">
        <v>100</v>
      </c>
      <c r="E235" s="3">
        <v>170</v>
      </c>
      <c r="F235" s="3" t="s">
        <v>18</v>
      </c>
      <c r="G235" s="3">
        <v>10</v>
      </c>
      <c r="H235" s="3">
        <v>10</v>
      </c>
      <c r="I235" s="9"/>
    </row>
    <row r="236" spans="1:9" ht="14" x14ac:dyDescent="0.3">
      <c r="A236" s="3">
        <f>IF(B235=1, MAX(A$7:A235)+1, A235)</f>
        <v>4</v>
      </c>
      <c r="B236" s="3">
        <v>132</v>
      </c>
      <c r="C236" s="11" t="s">
        <v>670</v>
      </c>
      <c r="D236" s="3">
        <v>200</v>
      </c>
      <c r="E236" s="3">
        <v>1200</v>
      </c>
      <c r="F236" s="3" t="s">
        <v>18</v>
      </c>
      <c r="G236" s="3">
        <v>10</v>
      </c>
      <c r="H236" s="3">
        <v>10</v>
      </c>
      <c r="I236" s="9"/>
    </row>
    <row r="237" spans="1:9" ht="14" x14ac:dyDescent="0.3">
      <c r="A237" s="3">
        <f>IF(B236=1, MAX(A$7:A236)+1, A236)</f>
        <v>4</v>
      </c>
      <c r="B237" s="3">
        <v>133</v>
      </c>
      <c r="C237" s="11" t="s">
        <v>671</v>
      </c>
      <c r="D237" s="3">
        <v>500</v>
      </c>
      <c r="E237" s="3">
        <v>800</v>
      </c>
      <c r="F237" s="3" t="s">
        <v>18</v>
      </c>
      <c r="G237" s="3">
        <v>10</v>
      </c>
      <c r="H237" s="3">
        <v>10</v>
      </c>
      <c r="I237" s="9"/>
    </row>
    <row r="238" spans="1:9" ht="14" x14ac:dyDescent="0.3">
      <c r="A238" s="3">
        <f>IF(B237=1, MAX(A$7:A237)+1, A237)</f>
        <v>4</v>
      </c>
      <c r="B238" s="3">
        <v>134</v>
      </c>
      <c r="C238" s="11" t="s">
        <v>672</v>
      </c>
      <c r="D238" s="3">
        <v>-1</v>
      </c>
      <c r="E238" s="3">
        <v>1</v>
      </c>
      <c r="F238" s="3" t="s">
        <v>18</v>
      </c>
      <c r="G238" s="3">
        <v>10</v>
      </c>
      <c r="H238" s="3">
        <v>10</v>
      </c>
      <c r="I238" s="9"/>
    </row>
    <row r="239" spans="1:9" ht="14" x14ac:dyDescent="0.3">
      <c r="A239" s="3">
        <f>IF(B238=1, MAX(A$7:A238)+1, A238)</f>
        <v>4</v>
      </c>
      <c r="B239" s="3">
        <v>135</v>
      </c>
      <c r="C239" s="11" t="s">
        <v>673</v>
      </c>
      <c r="D239" s="3">
        <v>1</v>
      </c>
      <c r="E239" s="3">
        <v>5</v>
      </c>
      <c r="F239" s="3" t="s">
        <v>18</v>
      </c>
      <c r="G239" s="3">
        <v>10</v>
      </c>
      <c r="H239" s="3">
        <v>10</v>
      </c>
      <c r="I239" s="9"/>
    </row>
    <row r="240" spans="1:9" ht="14" x14ac:dyDescent="0.3">
      <c r="A240" s="3">
        <f>IF(B239=1, MAX(A$7:A239)+1, A239)</f>
        <v>4</v>
      </c>
      <c r="B240" s="3">
        <v>136</v>
      </c>
      <c r="C240" s="11" t="s">
        <v>674</v>
      </c>
      <c r="D240" s="3">
        <v>1</v>
      </c>
      <c r="E240" s="3">
        <v>5</v>
      </c>
      <c r="F240" s="3" t="s">
        <v>18</v>
      </c>
      <c r="G240" s="3">
        <v>10</v>
      </c>
      <c r="H240" s="3">
        <v>10</v>
      </c>
      <c r="I240" s="9"/>
    </row>
    <row r="241" spans="1:9" ht="14" x14ac:dyDescent="0.3">
      <c r="A241" s="3">
        <f>IF(B240=1, MAX(A$7:A240)+1, A240)</f>
        <v>4</v>
      </c>
      <c r="B241" s="3">
        <v>137</v>
      </c>
      <c r="C241" s="11" t="s">
        <v>675</v>
      </c>
      <c r="D241" s="3">
        <v>2000</v>
      </c>
      <c r="E241" s="3">
        <v>2500</v>
      </c>
      <c r="F241" s="3" t="s">
        <v>18</v>
      </c>
      <c r="G241" s="3">
        <v>10</v>
      </c>
      <c r="H241" s="3">
        <v>10</v>
      </c>
      <c r="I241" s="9"/>
    </row>
    <row r="242" spans="1:9" ht="14" x14ac:dyDescent="0.3">
      <c r="A242" s="3">
        <f>IF(B241=1, MAX(A$7:A241)+1, A241)</f>
        <v>4</v>
      </c>
      <c r="B242" s="3">
        <v>138</v>
      </c>
      <c r="C242" s="11" t="s">
        <v>676</v>
      </c>
      <c r="D242" s="3">
        <v>2000</v>
      </c>
      <c r="E242" s="3">
        <v>2500</v>
      </c>
      <c r="F242" s="3" t="s">
        <v>18</v>
      </c>
      <c r="G242" s="3">
        <v>10</v>
      </c>
      <c r="H242" s="3">
        <v>10</v>
      </c>
      <c r="I242" s="9"/>
    </row>
    <row r="243" spans="1:9" ht="14" x14ac:dyDescent="0.3">
      <c r="A243" s="3">
        <f>IF(B242=1, MAX(A$7:A242)+1, A242)</f>
        <v>4</v>
      </c>
      <c r="B243" s="3">
        <v>139</v>
      </c>
      <c r="C243" s="11" t="s">
        <v>677</v>
      </c>
      <c r="D243" s="3">
        <v>250</v>
      </c>
      <c r="E243" s="3">
        <v>500</v>
      </c>
      <c r="F243" s="3" t="s">
        <v>18</v>
      </c>
      <c r="G243" s="3">
        <v>10</v>
      </c>
      <c r="H243" s="3">
        <v>10</v>
      </c>
      <c r="I243" s="9"/>
    </row>
    <row r="244" spans="1:9" ht="14" x14ac:dyDescent="0.3">
      <c r="A244" s="3">
        <f>IF(B243=1, MAX(A$7:A243)+1, A243)</f>
        <v>4</v>
      </c>
      <c r="B244" s="3">
        <v>140</v>
      </c>
      <c r="C244" s="11" t="s">
        <v>678</v>
      </c>
      <c r="D244" s="3">
        <v>250</v>
      </c>
      <c r="E244" s="3">
        <v>500</v>
      </c>
      <c r="F244" s="3" t="s">
        <v>18</v>
      </c>
      <c r="G244" s="3">
        <v>10</v>
      </c>
      <c r="H244" s="3">
        <v>10</v>
      </c>
      <c r="I244" s="9"/>
    </row>
    <row r="245" spans="1:9" ht="14" x14ac:dyDescent="0.3">
      <c r="A245" s="3">
        <f>IF(B244=1, MAX(A$7:A244)+1, A244)</f>
        <v>4</v>
      </c>
      <c r="B245" s="3">
        <v>141</v>
      </c>
      <c r="C245" s="11" t="s">
        <v>679</v>
      </c>
      <c r="D245" s="3">
        <v>300</v>
      </c>
      <c r="E245" s="3">
        <v>600</v>
      </c>
      <c r="F245" s="3" t="s">
        <v>18</v>
      </c>
      <c r="G245" s="3">
        <v>10</v>
      </c>
      <c r="H245" s="3">
        <v>10</v>
      </c>
      <c r="I245" s="9"/>
    </row>
    <row r="246" spans="1:9" ht="14" x14ac:dyDescent="0.3">
      <c r="A246" s="3">
        <f>IF(B245=1, MAX(A$7:A245)+1, A245)</f>
        <v>4</v>
      </c>
      <c r="B246" s="3">
        <v>142</v>
      </c>
      <c r="C246" s="11" t="s">
        <v>680</v>
      </c>
      <c r="D246" s="3">
        <v>300</v>
      </c>
      <c r="E246" s="3">
        <v>600</v>
      </c>
      <c r="F246" s="3" t="s">
        <v>18</v>
      </c>
      <c r="G246" s="3">
        <v>10</v>
      </c>
      <c r="H246" s="3">
        <v>10</v>
      </c>
      <c r="I246" s="9"/>
    </row>
    <row r="247" spans="1:9" ht="14" x14ac:dyDescent="0.3">
      <c r="A247" s="3">
        <f>IF(B246=1, MAX(A$7:A246)+1, A246)</f>
        <v>4</v>
      </c>
      <c r="B247" s="3">
        <v>143</v>
      </c>
      <c r="C247" s="11" t="s">
        <v>681</v>
      </c>
      <c r="D247" s="3">
        <v>300</v>
      </c>
      <c r="E247" s="3">
        <v>600</v>
      </c>
      <c r="F247" s="3" t="s">
        <v>18</v>
      </c>
      <c r="G247" s="3">
        <v>10</v>
      </c>
      <c r="H247" s="3">
        <v>10</v>
      </c>
      <c r="I247" s="9"/>
    </row>
    <row r="248" spans="1:9" ht="14" x14ac:dyDescent="0.3">
      <c r="A248" s="3">
        <f>IF(B247=1, MAX(A$7:A247)+1, A247)</f>
        <v>4</v>
      </c>
      <c r="B248" s="3">
        <v>144</v>
      </c>
      <c r="C248" s="11" t="s">
        <v>682</v>
      </c>
      <c r="D248" s="3">
        <v>-1</v>
      </c>
      <c r="E248" s="3">
        <v>1</v>
      </c>
      <c r="F248" s="3" t="s">
        <v>18</v>
      </c>
      <c r="G248" s="3">
        <v>10</v>
      </c>
      <c r="H248" s="3">
        <v>10</v>
      </c>
      <c r="I248" s="9"/>
    </row>
    <row r="249" spans="1:9" ht="14" x14ac:dyDescent="0.3">
      <c r="A249" s="3">
        <f>IF(B248=1, MAX(A$7:A248)+1, A248)</f>
        <v>4</v>
      </c>
      <c r="B249" s="3">
        <v>145</v>
      </c>
      <c r="C249" s="11" t="s">
        <v>683</v>
      </c>
      <c r="D249" s="3">
        <v>-1</v>
      </c>
      <c r="E249" s="3">
        <v>1</v>
      </c>
      <c r="F249" s="3" t="s">
        <v>18</v>
      </c>
      <c r="G249" s="3">
        <v>10</v>
      </c>
      <c r="H249" s="3">
        <v>10</v>
      </c>
      <c r="I249" s="9"/>
    </row>
    <row r="250" spans="1:9" ht="14" x14ac:dyDescent="0.3">
      <c r="A250" s="3">
        <f>IF(B249=1, MAX(A$7:A249)+1, A249)</f>
        <v>4</v>
      </c>
      <c r="B250" s="3">
        <v>146</v>
      </c>
      <c r="C250" s="11" t="s">
        <v>684</v>
      </c>
      <c r="D250" s="3">
        <v>-1</v>
      </c>
      <c r="E250" s="3">
        <v>1</v>
      </c>
      <c r="F250" s="3" t="s">
        <v>18</v>
      </c>
      <c r="G250" s="3">
        <v>10</v>
      </c>
      <c r="H250" s="3">
        <v>10</v>
      </c>
      <c r="I250" s="9"/>
    </row>
    <row r="251" spans="1:9" ht="14" x14ac:dyDescent="0.3">
      <c r="A251" s="3">
        <f>IF(B250=1, MAX(A$7:A250)+1, A250)</f>
        <v>4</v>
      </c>
      <c r="B251" s="3">
        <v>147</v>
      </c>
      <c r="C251" s="11" t="s">
        <v>685</v>
      </c>
      <c r="D251" s="3">
        <v>-1</v>
      </c>
      <c r="E251" s="3">
        <v>1</v>
      </c>
      <c r="F251" s="3" t="s">
        <v>18</v>
      </c>
      <c r="G251" s="3">
        <v>10</v>
      </c>
      <c r="H251" s="3">
        <v>10</v>
      </c>
      <c r="I251" s="9"/>
    </row>
    <row r="252" spans="1:9" ht="14" x14ac:dyDescent="0.3">
      <c r="A252" s="3">
        <f>IF(B251=1, MAX(A$7:A251)+1, A251)</f>
        <v>4</v>
      </c>
      <c r="B252" s="3">
        <v>148</v>
      </c>
      <c r="C252" s="11" t="s">
        <v>686</v>
      </c>
      <c r="D252" s="3">
        <v>-1</v>
      </c>
      <c r="E252" s="3">
        <v>1</v>
      </c>
      <c r="F252" s="3" t="s">
        <v>18</v>
      </c>
      <c r="G252" s="3">
        <v>10</v>
      </c>
      <c r="H252" s="3">
        <v>10</v>
      </c>
      <c r="I252" s="9"/>
    </row>
    <row r="253" spans="1:9" ht="14" x14ac:dyDescent="0.3">
      <c r="A253" s="3">
        <f>IF(B252=1, MAX(A$7:A252)+1, A252)</f>
        <v>4</v>
      </c>
      <c r="B253" s="3">
        <v>149</v>
      </c>
      <c r="C253" s="11" t="s">
        <v>687</v>
      </c>
      <c r="D253" s="3">
        <v>-1</v>
      </c>
      <c r="E253" s="3">
        <v>1</v>
      </c>
      <c r="F253" s="3" t="s">
        <v>18</v>
      </c>
      <c r="G253" s="3">
        <v>10</v>
      </c>
      <c r="H253" s="3">
        <v>10</v>
      </c>
      <c r="I253" s="9"/>
    </row>
    <row r="254" spans="1:9" ht="14" x14ac:dyDescent="0.3">
      <c r="A254" s="3">
        <f>IF(B253=1, MAX(A$7:A253)+1, A253)</f>
        <v>4</v>
      </c>
      <c r="B254" s="3">
        <v>150</v>
      </c>
      <c r="C254" s="11" t="s">
        <v>688</v>
      </c>
      <c r="D254" s="3">
        <v>-1</v>
      </c>
      <c r="E254" s="3">
        <v>1</v>
      </c>
      <c r="F254" s="3" t="s">
        <v>18</v>
      </c>
      <c r="G254" s="3">
        <v>10</v>
      </c>
      <c r="H254" s="3">
        <v>10</v>
      </c>
      <c r="I254" s="9"/>
    </row>
    <row r="255" spans="1:9" ht="14" x14ac:dyDescent="0.3">
      <c r="A255" s="3">
        <f>IF(B254=1, MAX(A$7:A254)+1, A254)</f>
        <v>4</v>
      </c>
      <c r="B255" s="3">
        <v>151</v>
      </c>
      <c r="C255" s="11" t="s">
        <v>689</v>
      </c>
      <c r="D255" s="3">
        <v>-1</v>
      </c>
      <c r="E255" s="3">
        <v>1</v>
      </c>
      <c r="F255" s="3" t="s">
        <v>18</v>
      </c>
      <c r="G255" s="3">
        <v>10</v>
      </c>
      <c r="H255" s="3">
        <v>10</v>
      </c>
      <c r="I255" s="9"/>
    </row>
    <row r="256" spans="1:9" ht="14" x14ac:dyDescent="0.3">
      <c r="A256" s="3">
        <f>IF(B255=1, MAX(A$7:A255)+1, A255)</f>
        <v>4</v>
      </c>
      <c r="B256" s="3">
        <v>152</v>
      </c>
      <c r="C256" s="11" t="s">
        <v>690</v>
      </c>
      <c r="D256" s="3">
        <v>-1</v>
      </c>
      <c r="E256" s="3">
        <v>1</v>
      </c>
      <c r="F256" s="3" t="s">
        <v>18</v>
      </c>
      <c r="G256" s="3">
        <v>10</v>
      </c>
      <c r="H256" s="3">
        <v>10</v>
      </c>
      <c r="I256" s="9"/>
    </row>
    <row r="257" spans="1:9" ht="14" x14ac:dyDescent="0.3">
      <c r="A257" s="3">
        <f>IF(B256=1, MAX(A$7:A256)+1, A256)</f>
        <v>4</v>
      </c>
      <c r="B257" s="3">
        <v>153</v>
      </c>
      <c r="C257" s="11" t="s">
        <v>691</v>
      </c>
      <c r="D257" s="3">
        <v>-1</v>
      </c>
      <c r="E257" s="3">
        <v>1</v>
      </c>
      <c r="F257" s="3" t="s">
        <v>18</v>
      </c>
      <c r="G257" s="3">
        <v>10</v>
      </c>
      <c r="H257" s="3">
        <v>10</v>
      </c>
      <c r="I257" s="9"/>
    </row>
    <row r="258" spans="1:9" ht="14" x14ac:dyDescent="0.3">
      <c r="A258" s="3">
        <f>IF(B257=1, MAX(A$7:A257)+1, A257)</f>
        <v>4</v>
      </c>
      <c r="B258" s="3">
        <v>154</v>
      </c>
      <c r="C258" s="11" t="s">
        <v>692</v>
      </c>
      <c r="D258" s="3">
        <v>-1</v>
      </c>
      <c r="E258" s="3">
        <v>1</v>
      </c>
      <c r="F258" s="3" t="s">
        <v>18</v>
      </c>
      <c r="G258" s="3">
        <v>10</v>
      </c>
      <c r="H258" s="3">
        <v>10</v>
      </c>
      <c r="I258" s="9"/>
    </row>
    <row r="259" spans="1:9" ht="14" x14ac:dyDescent="0.3">
      <c r="A259" s="3">
        <f>IF(B258=1, MAX(A$7:A258)+1, A258)</f>
        <v>4</v>
      </c>
      <c r="B259" s="3">
        <v>155</v>
      </c>
      <c r="C259" s="11" t="s">
        <v>693</v>
      </c>
      <c r="D259" s="3">
        <v>-1</v>
      </c>
      <c r="E259" s="3">
        <v>1</v>
      </c>
      <c r="F259" s="3" t="s">
        <v>18</v>
      </c>
      <c r="G259" s="3">
        <v>10</v>
      </c>
      <c r="H259" s="3">
        <v>10</v>
      </c>
      <c r="I259" s="9"/>
    </row>
    <row r="260" spans="1:9" ht="14" x14ac:dyDescent="0.3">
      <c r="A260" s="3">
        <f>IF(B259=1, MAX(A$7:A259)+1, A259)</f>
        <v>4</v>
      </c>
      <c r="B260" s="3">
        <v>156</v>
      </c>
      <c r="C260" s="11" t="s">
        <v>694</v>
      </c>
      <c r="D260" s="3">
        <v>-5</v>
      </c>
      <c r="E260" s="3">
        <v>5</v>
      </c>
      <c r="F260" s="3" t="s">
        <v>18</v>
      </c>
      <c r="G260" s="3">
        <v>10</v>
      </c>
      <c r="H260" s="3">
        <v>10</v>
      </c>
      <c r="I260" s="9"/>
    </row>
    <row r="261" spans="1:9" ht="14" x14ac:dyDescent="0.3">
      <c r="A261" s="3">
        <f>IF(B260=1, MAX(A$7:A260)+1, A260)</f>
        <v>4</v>
      </c>
      <c r="B261" s="3">
        <v>157</v>
      </c>
      <c r="C261" s="11" t="s">
        <v>695</v>
      </c>
      <c r="D261" s="3"/>
      <c r="E261" s="3"/>
      <c r="F261" s="3" t="s">
        <v>18</v>
      </c>
      <c r="G261" s="3">
        <v>10</v>
      </c>
      <c r="H261" s="3">
        <v>10</v>
      </c>
      <c r="I261" s="9"/>
    </row>
    <row r="262" spans="1:9" ht="14" x14ac:dyDescent="0.3">
      <c r="A262" s="3">
        <f>IF(B261=1, MAX(A$7:A261)+1, A261)</f>
        <v>4</v>
      </c>
      <c r="B262" s="3">
        <v>158</v>
      </c>
      <c r="C262" s="11" t="s">
        <v>696</v>
      </c>
      <c r="D262" s="3">
        <v>-3</v>
      </c>
      <c r="E262" s="3">
        <v>3</v>
      </c>
      <c r="F262" s="3" t="s">
        <v>18</v>
      </c>
      <c r="G262" s="3">
        <v>10</v>
      </c>
      <c r="H262" s="3">
        <v>10</v>
      </c>
      <c r="I262" s="9"/>
    </row>
    <row r="263" spans="1:9" ht="14" x14ac:dyDescent="0.3">
      <c r="A263" s="3">
        <f>IF(B262=1, MAX(A$7:A262)+1, A262)</f>
        <v>4</v>
      </c>
      <c r="B263" s="3">
        <v>159</v>
      </c>
      <c r="C263" s="11" t="s">
        <v>697</v>
      </c>
      <c r="D263" s="3">
        <v>-1</v>
      </c>
      <c r="E263" s="3">
        <v>1</v>
      </c>
      <c r="F263" s="3" t="s">
        <v>18</v>
      </c>
      <c r="G263" s="3">
        <v>10</v>
      </c>
      <c r="H263" s="3">
        <v>10</v>
      </c>
      <c r="I263" s="9"/>
    </row>
    <row r="264" spans="1:9" ht="14" x14ac:dyDescent="0.3">
      <c r="A264" s="3">
        <f>IF(B263=1, MAX(A$7:A263)+1, A263)</f>
        <v>4</v>
      </c>
      <c r="B264" s="3">
        <v>160</v>
      </c>
      <c r="C264" s="11" t="s">
        <v>698</v>
      </c>
      <c r="D264" s="3">
        <v>-1</v>
      </c>
      <c r="E264" s="3">
        <v>1</v>
      </c>
      <c r="F264" s="3" t="s">
        <v>18</v>
      </c>
      <c r="G264" s="3">
        <v>10</v>
      </c>
      <c r="H264" s="3">
        <v>10</v>
      </c>
      <c r="I264" s="9"/>
    </row>
    <row r="265" spans="1:9" ht="14" x14ac:dyDescent="0.3">
      <c r="A265" s="3">
        <f>IF(B264=1, MAX(A$7:A264)+1, A264)</f>
        <v>4</v>
      </c>
      <c r="B265" s="3">
        <v>161</v>
      </c>
      <c r="C265" s="11" t="s">
        <v>699</v>
      </c>
      <c r="D265" s="3">
        <v>-1</v>
      </c>
      <c r="E265" s="3">
        <v>1</v>
      </c>
      <c r="F265" s="3" t="s">
        <v>18</v>
      </c>
      <c r="G265" s="3">
        <v>10</v>
      </c>
      <c r="H265" s="3">
        <v>10</v>
      </c>
      <c r="I265" s="9"/>
    </row>
    <row r="266" spans="1:9" ht="14" x14ac:dyDescent="0.3">
      <c r="A266" s="3">
        <f>IF(B265=1, MAX(A$7:A265)+1, A265)</f>
        <v>4</v>
      </c>
      <c r="B266" s="3">
        <v>162</v>
      </c>
      <c r="C266" s="11" t="s">
        <v>700</v>
      </c>
      <c r="D266" s="3">
        <v>-3</v>
      </c>
      <c r="E266" s="3">
        <v>3</v>
      </c>
      <c r="F266" s="3" t="s">
        <v>18</v>
      </c>
      <c r="G266" s="3">
        <v>10</v>
      </c>
      <c r="H266" s="3">
        <v>10</v>
      </c>
      <c r="I266" s="9"/>
    </row>
    <row r="267" spans="1:9" ht="14" x14ac:dyDescent="0.3">
      <c r="A267" s="3">
        <f>IF(B266=1, MAX(A$7:A266)+1, A266)</f>
        <v>4</v>
      </c>
      <c r="B267" s="3">
        <v>163</v>
      </c>
      <c r="C267" s="11" t="s">
        <v>701</v>
      </c>
      <c r="D267" s="3">
        <v>-3</v>
      </c>
      <c r="E267" s="3">
        <v>3</v>
      </c>
      <c r="F267" s="3" t="s">
        <v>18</v>
      </c>
      <c r="G267" s="3">
        <v>10</v>
      </c>
      <c r="H267" s="3">
        <v>10</v>
      </c>
      <c r="I267" s="9"/>
    </row>
    <row r="268" spans="1:9" ht="14" x14ac:dyDescent="0.3">
      <c r="A268" s="3">
        <f>IF(B267=1, MAX(A$7:A267)+1, A267)</f>
        <v>4</v>
      </c>
      <c r="B268" s="3">
        <v>164</v>
      </c>
      <c r="C268" s="11" t="s">
        <v>702</v>
      </c>
      <c r="D268" s="3">
        <v>-1</v>
      </c>
      <c r="E268" s="3">
        <v>1</v>
      </c>
      <c r="F268" s="3" t="s">
        <v>18</v>
      </c>
      <c r="G268" s="3">
        <v>10</v>
      </c>
      <c r="H268" s="3">
        <v>10</v>
      </c>
      <c r="I268" s="9"/>
    </row>
    <row r="269" spans="1:9" ht="14" x14ac:dyDescent="0.3">
      <c r="A269" s="3">
        <f>IF(B268=1, MAX(A$7:A268)+1, A268)</f>
        <v>4</v>
      </c>
      <c r="B269" s="3">
        <v>165</v>
      </c>
      <c r="C269" s="11" t="s">
        <v>703</v>
      </c>
      <c r="D269" s="3">
        <v>-1</v>
      </c>
      <c r="E269" s="3">
        <v>1</v>
      </c>
      <c r="F269" s="3" t="s">
        <v>18</v>
      </c>
      <c r="G269" s="3">
        <v>10</v>
      </c>
      <c r="H269" s="3">
        <v>10</v>
      </c>
      <c r="I269" s="9"/>
    </row>
    <row r="270" spans="1:9" ht="14" x14ac:dyDescent="0.3">
      <c r="A270" s="3">
        <f>IF(B269=1, MAX(A$7:A269)+1, A269)</f>
        <v>4</v>
      </c>
      <c r="B270" s="3">
        <v>166</v>
      </c>
      <c r="C270" s="11" t="s">
        <v>704</v>
      </c>
      <c r="D270" s="3">
        <v>-1</v>
      </c>
      <c r="E270" s="3">
        <v>1</v>
      </c>
      <c r="F270" s="3" t="s">
        <v>18</v>
      </c>
      <c r="G270" s="3">
        <v>10</v>
      </c>
      <c r="H270" s="3">
        <v>10</v>
      </c>
      <c r="I270" s="9"/>
    </row>
    <row r="271" spans="1:9" ht="14" x14ac:dyDescent="0.3">
      <c r="A271" s="3">
        <f>IF(B270=1, MAX(A$7:A270)+1, A270)</f>
        <v>4</v>
      </c>
      <c r="B271" s="3">
        <v>167</v>
      </c>
      <c r="C271" s="11" t="s">
        <v>705</v>
      </c>
      <c r="D271" s="3">
        <v>-1</v>
      </c>
      <c r="E271" s="3">
        <v>1</v>
      </c>
      <c r="F271" s="3" t="s">
        <v>18</v>
      </c>
      <c r="G271" s="3">
        <v>10</v>
      </c>
      <c r="H271" s="3">
        <v>10</v>
      </c>
      <c r="I271" s="9"/>
    </row>
    <row r="272" spans="1:9" ht="14" x14ac:dyDescent="0.3">
      <c r="A272" s="3">
        <f>IF(B271=1, MAX(A$7:A271)+1, A271)</f>
        <v>4</v>
      </c>
      <c r="B272" s="3">
        <v>168</v>
      </c>
      <c r="C272" s="11" t="s">
        <v>706</v>
      </c>
      <c r="D272" s="3">
        <v>-40</v>
      </c>
      <c r="E272" s="3">
        <v>40</v>
      </c>
      <c r="F272" s="3" t="s">
        <v>18</v>
      </c>
      <c r="G272" s="3">
        <v>10</v>
      </c>
      <c r="H272" s="3">
        <v>10</v>
      </c>
      <c r="I272" s="9"/>
    </row>
    <row r="273" spans="1:9" ht="14" x14ac:dyDescent="0.3">
      <c r="A273" s="3">
        <f>IF(B272=1, MAX(A$7:A272)+1, A272)</f>
        <v>4</v>
      </c>
      <c r="B273" s="3">
        <v>169</v>
      </c>
      <c r="C273" s="11" t="s">
        <v>707</v>
      </c>
      <c r="D273" s="3">
        <v>6</v>
      </c>
      <c r="E273" s="3">
        <v>22</v>
      </c>
      <c r="F273" s="3" t="s">
        <v>18</v>
      </c>
      <c r="G273" s="3">
        <v>10</v>
      </c>
      <c r="H273" s="3">
        <v>10</v>
      </c>
      <c r="I273" s="9"/>
    </row>
    <row r="274" spans="1:9" ht="14" x14ac:dyDescent="0.3">
      <c r="A274" s="3">
        <f>IF(B273=1, MAX(A$7:A273)+1, A273)</f>
        <v>4</v>
      </c>
      <c r="B274" s="3">
        <v>170</v>
      </c>
      <c r="C274" s="11" t="s">
        <v>708</v>
      </c>
      <c r="D274" s="3">
        <v>6</v>
      </c>
      <c r="E274" s="3">
        <v>22</v>
      </c>
      <c r="F274" s="3" t="s">
        <v>18</v>
      </c>
      <c r="G274" s="3">
        <v>10</v>
      </c>
      <c r="H274" s="3">
        <v>10</v>
      </c>
      <c r="I274" s="9"/>
    </row>
    <row r="275" spans="1:9" ht="14" x14ac:dyDescent="0.3">
      <c r="A275" s="3">
        <f>IF(B274=1, MAX(A$7:A274)+1, A274)</f>
        <v>4</v>
      </c>
      <c r="B275" s="3">
        <v>171</v>
      </c>
      <c r="C275" s="11" t="s">
        <v>709</v>
      </c>
      <c r="D275" s="3">
        <v>8.8000000000000007</v>
      </c>
      <c r="E275" s="3">
        <v>9.1</v>
      </c>
      <c r="F275" s="3" t="s">
        <v>8</v>
      </c>
      <c r="G275" s="3">
        <v>11</v>
      </c>
      <c r="H275" s="3">
        <v>11</v>
      </c>
      <c r="I275" s="9"/>
    </row>
    <row r="276" spans="1:9" ht="14" x14ac:dyDescent="0.3">
      <c r="A276" s="3">
        <f>IF(B275=1, MAX(A$7:A275)+1, A275)</f>
        <v>4</v>
      </c>
      <c r="B276" s="3">
        <v>172</v>
      </c>
      <c r="C276" s="11" t="s">
        <v>710</v>
      </c>
      <c r="D276" s="3">
        <v>8.8000000000000007</v>
      </c>
      <c r="E276" s="3">
        <v>9.1</v>
      </c>
      <c r="F276" s="3" t="s">
        <v>8</v>
      </c>
      <c r="G276" s="3">
        <v>11</v>
      </c>
      <c r="H276" s="3">
        <v>11</v>
      </c>
      <c r="I276" s="9"/>
    </row>
    <row r="277" spans="1:9" ht="14" x14ac:dyDescent="0.3">
      <c r="A277" s="3">
        <f>IF(B276=1, MAX(A$7:A276)+1, A276)</f>
        <v>4</v>
      </c>
      <c r="B277" s="3">
        <v>173</v>
      </c>
      <c r="C277" s="11" t="s">
        <v>711</v>
      </c>
      <c r="D277" s="3">
        <v>6</v>
      </c>
      <c r="E277" s="3">
        <v>22</v>
      </c>
      <c r="F277" s="3" t="s">
        <v>18</v>
      </c>
      <c r="G277" s="3">
        <v>10</v>
      </c>
      <c r="H277" s="3">
        <v>10</v>
      </c>
      <c r="I277" s="9"/>
    </row>
    <row r="278" spans="1:9" ht="14" x14ac:dyDescent="0.3">
      <c r="A278" s="3">
        <f>IF(B277=1, MAX(A$7:A277)+1, A277)</f>
        <v>4</v>
      </c>
      <c r="B278" s="3">
        <v>174</v>
      </c>
      <c r="C278" s="11" t="s">
        <v>712</v>
      </c>
      <c r="D278" s="3">
        <v>6</v>
      </c>
      <c r="E278" s="3">
        <v>22</v>
      </c>
      <c r="F278" s="3" t="s">
        <v>18</v>
      </c>
      <c r="G278" s="3">
        <v>10</v>
      </c>
      <c r="H278" s="3">
        <v>10</v>
      </c>
      <c r="I278" s="9"/>
    </row>
    <row r="279" spans="1:9" ht="14" x14ac:dyDescent="0.3">
      <c r="A279" s="3">
        <f>IF(B278=1, MAX(A$7:A278)+1, A278)</f>
        <v>4</v>
      </c>
      <c r="B279" s="3">
        <v>175</v>
      </c>
      <c r="C279" s="11" t="s">
        <v>713</v>
      </c>
      <c r="D279" s="3">
        <v>-1</v>
      </c>
      <c r="E279" s="3">
        <v>1</v>
      </c>
      <c r="F279" s="3" t="s">
        <v>18</v>
      </c>
      <c r="G279" s="3">
        <v>10</v>
      </c>
      <c r="H279" s="3">
        <v>10</v>
      </c>
      <c r="I279" s="9"/>
    </row>
    <row r="280" spans="1:9" ht="14" x14ac:dyDescent="0.3">
      <c r="A280" s="3">
        <f>IF(B279=1, MAX(A$7:A279)+1, A279)</f>
        <v>4</v>
      </c>
      <c r="B280" s="3">
        <v>176</v>
      </c>
      <c r="C280" s="11" t="s">
        <v>714</v>
      </c>
      <c r="D280" s="3">
        <v>-1</v>
      </c>
      <c r="E280" s="3">
        <v>1</v>
      </c>
      <c r="F280" s="3" t="s">
        <v>18</v>
      </c>
      <c r="G280" s="3">
        <v>10</v>
      </c>
      <c r="H280" s="3">
        <v>10</v>
      </c>
      <c r="I280" s="9"/>
    </row>
    <row r="281" spans="1:9" ht="14" x14ac:dyDescent="0.3">
      <c r="A281" s="3">
        <f>IF(B280=1, MAX(A$7:A280)+1, A280)</f>
        <v>4</v>
      </c>
      <c r="B281" s="3">
        <v>1</v>
      </c>
      <c r="C281" s="11" t="s">
        <v>715</v>
      </c>
      <c r="D281" s="3">
        <v>0</v>
      </c>
      <c r="E281" s="3">
        <v>1</v>
      </c>
      <c r="F281" s="3" t="s">
        <v>52</v>
      </c>
      <c r="G281" s="3">
        <v>8</v>
      </c>
      <c r="H281" s="3">
        <v>8</v>
      </c>
      <c r="I281" s="9"/>
    </row>
    <row r="282" spans="1:9" ht="14" x14ac:dyDescent="0.3">
      <c r="A282" s="3">
        <f>IF(B281=1, MAX(A$7:A281)+1, A281)</f>
        <v>5</v>
      </c>
      <c r="B282" s="3">
        <v>2</v>
      </c>
      <c r="C282" s="11" t="s">
        <v>716</v>
      </c>
      <c r="D282" s="3">
        <v>0</v>
      </c>
      <c r="E282" s="3">
        <v>255</v>
      </c>
      <c r="F282" s="3" t="s">
        <v>52</v>
      </c>
      <c r="G282" s="3">
        <v>8</v>
      </c>
      <c r="H282" s="3">
        <v>8</v>
      </c>
      <c r="I282" s="9"/>
    </row>
    <row r="283" spans="1:9" ht="14" x14ac:dyDescent="0.3">
      <c r="A283" s="3">
        <f>IF(B282=1, MAX(A$7:A282)+1, A282)</f>
        <v>5</v>
      </c>
      <c r="B283" s="3">
        <v>3</v>
      </c>
      <c r="C283" s="11" t="s">
        <v>717</v>
      </c>
      <c r="D283" s="3">
        <v>0</v>
      </c>
      <c r="E283" s="3">
        <v>255</v>
      </c>
      <c r="F283" s="3" t="s">
        <v>52</v>
      </c>
      <c r="G283" s="3">
        <v>8</v>
      </c>
      <c r="H283" s="3">
        <v>8</v>
      </c>
      <c r="I283" s="9"/>
    </row>
    <row r="284" spans="1:9" ht="14" x14ac:dyDescent="0.3">
      <c r="A284" s="3">
        <f>IF(B283=1, MAX(A$7:A283)+1, A283)</f>
        <v>5</v>
      </c>
      <c r="B284" s="3">
        <v>4</v>
      </c>
      <c r="C284" s="11" t="s">
        <v>718</v>
      </c>
      <c r="D284" s="3">
        <v>0</v>
      </c>
      <c r="E284" s="3">
        <v>130</v>
      </c>
      <c r="F284" s="3" t="s">
        <v>52</v>
      </c>
      <c r="G284" s="3">
        <v>8</v>
      </c>
      <c r="H284" s="3">
        <v>8</v>
      </c>
      <c r="I284" s="9"/>
    </row>
    <row r="285" spans="1:9" ht="14" x14ac:dyDescent="0.3">
      <c r="A285" s="3">
        <f>IF(B284=1, MAX(A$7:A284)+1, A284)</f>
        <v>5</v>
      </c>
      <c r="B285" s="3">
        <v>5</v>
      </c>
      <c r="C285" s="11" t="s">
        <v>719</v>
      </c>
      <c r="D285" s="3">
        <v>0</v>
      </c>
      <c r="E285" s="3">
        <v>255</v>
      </c>
      <c r="F285" s="3" t="s">
        <v>52</v>
      </c>
      <c r="G285" s="3">
        <v>8</v>
      </c>
      <c r="H285" s="3">
        <v>8</v>
      </c>
      <c r="I285" s="9"/>
    </row>
    <row r="286" spans="1:9" ht="14" x14ac:dyDescent="0.3">
      <c r="A286" s="3">
        <f>IF(B285=1, MAX(A$7:A285)+1, A285)</f>
        <v>5</v>
      </c>
      <c r="B286" s="3">
        <v>6</v>
      </c>
      <c r="C286" s="11" t="s">
        <v>720</v>
      </c>
      <c r="D286" s="3">
        <v>0</v>
      </c>
      <c r="E286" s="3">
        <v>255</v>
      </c>
      <c r="F286" s="3" t="s">
        <v>52</v>
      </c>
      <c r="G286" s="3">
        <v>8</v>
      </c>
      <c r="H286" s="3">
        <v>8</v>
      </c>
      <c r="I286" s="9"/>
    </row>
    <row r="287" spans="1:9" ht="14" x14ac:dyDescent="0.3">
      <c r="A287" s="3">
        <f>IF(B286=1, MAX(A$7:A286)+1, A286)</f>
        <v>5</v>
      </c>
      <c r="B287" s="3">
        <v>7</v>
      </c>
      <c r="C287" s="11" t="s">
        <v>721</v>
      </c>
      <c r="D287" s="3">
        <v>0</v>
      </c>
      <c r="E287" s="3">
        <v>255</v>
      </c>
      <c r="F287" s="3" t="s">
        <v>52</v>
      </c>
      <c r="G287" s="3">
        <v>8</v>
      </c>
      <c r="H287" s="3">
        <v>8</v>
      </c>
      <c r="I287" s="9"/>
    </row>
    <row r="288" spans="1:9" ht="14" x14ac:dyDescent="0.3">
      <c r="A288" s="3">
        <f>IF(B287=1, MAX(A$7:A287)+1, A287)</f>
        <v>5</v>
      </c>
      <c r="B288" s="3">
        <v>8</v>
      </c>
      <c r="C288" s="11" t="s">
        <v>722</v>
      </c>
      <c r="D288" s="3">
        <v>0</v>
      </c>
      <c r="E288" s="3">
        <v>255</v>
      </c>
      <c r="F288" s="3" t="s">
        <v>52</v>
      </c>
      <c r="G288" s="3">
        <v>8</v>
      </c>
      <c r="H288" s="3">
        <v>8</v>
      </c>
      <c r="I288" s="9"/>
    </row>
    <row r="289" spans="1:9" ht="14" x14ac:dyDescent="0.3">
      <c r="A289" s="3">
        <f>IF(B288=1, MAX(A$7:A288)+1, A288)</f>
        <v>5</v>
      </c>
      <c r="B289" s="3">
        <v>9</v>
      </c>
      <c r="C289" s="11" t="s">
        <v>723</v>
      </c>
      <c r="D289" s="3">
        <v>0</v>
      </c>
      <c r="E289" s="3">
        <v>255</v>
      </c>
      <c r="F289" s="3" t="s">
        <v>52</v>
      </c>
      <c r="G289" s="3">
        <v>8</v>
      </c>
      <c r="H289" s="3">
        <v>8</v>
      </c>
      <c r="I289" s="9"/>
    </row>
    <row r="290" spans="1:9" ht="14" x14ac:dyDescent="0.3">
      <c r="A290" s="3">
        <f>IF(B289=1, MAX(A$7:A289)+1, A289)</f>
        <v>5</v>
      </c>
      <c r="B290" s="3">
        <v>10</v>
      </c>
      <c r="C290" s="11" t="s">
        <v>724</v>
      </c>
      <c r="D290" s="3">
        <v>0</v>
      </c>
      <c r="E290" s="3">
        <v>255</v>
      </c>
      <c r="F290" s="3" t="s">
        <v>52</v>
      </c>
      <c r="G290" s="3">
        <v>8</v>
      </c>
      <c r="H290" s="3">
        <v>8</v>
      </c>
      <c r="I290" s="9"/>
    </row>
    <row r="291" spans="1:9" ht="14" x14ac:dyDescent="0.3">
      <c r="A291" s="3">
        <f>IF(B290=1, MAX(A$7:A290)+1, A290)</f>
        <v>5</v>
      </c>
      <c r="B291" s="3">
        <v>11</v>
      </c>
      <c r="C291" s="11" t="s">
        <v>725</v>
      </c>
      <c r="D291" s="3">
        <v>0</v>
      </c>
      <c r="E291" s="3">
        <v>255</v>
      </c>
      <c r="F291" s="3" t="s">
        <v>52</v>
      </c>
      <c r="G291" s="3">
        <v>8</v>
      </c>
      <c r="H291" s="3">
        <v>8</v>
      </c>
      <c r="I291" s="9"/>
    </row>
    <row r="292" spans="1:9" ht="14" x14ac:dyDescent="0.3">
      <c r="A292" s="3">
        <f>IF(B291=1, MAX(A$7:A291)+1, A291)</f>
        <v>5</v>
      </c>
      <c r="B292" s="3">
        <v>12</v>
      </c>
      <c r="C292" s="11" t="s">
        <v>726</v>
      </c>
      <c r="D292" s="3">
        <v>0</v>
      </c>
      <c r="E292" s="3">
        <v>255</v>
      </c>
      <c r="F292" s="3" t="s">
        <v>52</v>
      </c>
      <c r="G292" s="3">
        <v>8</v>
      </c>
      <c r="H292" s="3">
        <v>8</v>
      </c>
      <c r="I292" s="9"/>
    </row>
    <row r="293" spans="1:9" ht="14" x14ac:dyDescent="0.3">
      <c r="A293" s="3">
        <f>IF(B292=1, MAX(A$7:A292)+1, A292)</f>
        <v>5</v>
      </c>
      <c r="B293" s="3">
        <v>13</v>
      </c>
      <c r="C293" s="11" t="s">
        <v>727</v>
      </c>
      <c r="D293" s="3">
        <v>0</v>
      </c>
      <c r="E293" s="3">
        <v>255</v>
      </c>
      <c r="F293" s="3" t="s">
        <v>52</v>
      </c>
      <c r="G293" s="3">
        <v>8</v>
      </c>
      <c r="H293" s="3">
        <v>8</v>
      </c>
      <c r="I293" s="9"/>
    </row>
    <row r="294" spans="1:9" ht="14" x14ac:dyDescent="0.3">
      <c r="A294" s="3">
        <f>IF(B293=1, MAX(A$7:A293)+1, A293)</f>
        <v>5</v>
      </c>
      <c r="B294" s="3">
        <v>1</v>
      </c>
      <c r="C294" s="11" t="s">
        <v>728</v>
      </c>
      <c r="D294" s="3">
        <v>0</v>
      </c>
      <c r="E294" s="3">
        <v>254</v>
      </c>
      <c r="F294" s="3" t="s">
        <v>52</v>
      </c>
      <c r="G294" s="3">
        <v>9</v>
      </c>
      <c r="H294" s="3">
        <v>9</v>
      </c>
      <c r="I294" s="9"/>
    </row>
    <row r="295" spans="1:9" ht="14" x14ac:dyDescent="0.3">
      <c r="A295" s="3">
        <f>IF(B294=1, MAX(A$7:A294)+1, A294)</f>
        <v>6</v>
      </c>
      <c r="B295" s="3">
        <v>2</v>
      </c>
      <c r="C295" s="11" t="s">
        <v>729</v>
      </c>
      <c r="D295" s="3">
        <v>0</v>
      </c>
      <c r="E295" s="3">
        <v>254</v>
      </c>
      <c r="F295" s="3" t="s">
        <v>52</v>
      </c>
      <c r="G295" s="3">
        <v>9</v>
      </c>
      <c r="H295" s="3">
        <v>9</v>
      </c>
      <c r="I295" s="9"/>
    </row>
    <row r="296" spans="1:9" ht="14" x14ac:dyDescent="0.3">
      <c r="A296" s="3">
        <f>IF(B295=1, MAX(A$7:A295)+1, A295)</f>
        <v>6</v>
      </c>
      <c r="B296" s="3">
        <v>3</v>
      </c>
      <c r="C296" s="11" t="s">
        <v>730</v>
      </c>
      <c r="D296" s="3">
        <v>0</v>
      </c>
      <c r="E296" s="3">
        <v>254</v>
      </c>
      <c r="F296" s="3" t="s">
        <v>52</v>
      </c>
      <c r="G296" s="3">
        <v>9</v>
      </c>
      <c r="H296" s="3">
        <v>9</v>
      </c>
      <c r="I296" s="9"/>
    </row>
    <row r="297" spans="1:9" ht="14" x14ac:dyDescent="0.3">
      <c r="A297" s="3">
        <f>IF(B296=1, MAX(A$7:A296)+1, A296)</f>
        <v>6</v>
      </c>
      <c r="B297" s="3">
        <v>4</v>
      </c>
      <c r="C297" s="11" t="s">
        <v>731</v>
      </c>
      <c r="D297" s="3">
        <v>0</v>
      </c>
      <c r="E297" s="3">
        <v>254</v>
      </c>
      <c r="F297" s="3" t="s">
        <v>52</v>
      </c>
      <c r="G297" s="3">
        <v>9</v>
      </c>
      <c r="H297" s="3">
        <v>9</v>
      </c>
      <c r="I297" s="9"/>
    </row>
    <row r="298" spans="1:9" ht="14" x14ac:dyDescent="0.3">
      <c r="A298" s="3">
        <f>IF(B297=1, MAX(A$7:A297)+1, A297)</f>
        <v>6</v>
      </c>
      <c r="B298" s="3">
        <v>5</v>
      </c>
      <c r="C298" s="11" t="s">
        <v>732</v>
      </c>
      <c r="D298" s="3">
        <v>170</v>
      </c>
      <c r="E298" s="3">
        <v>170</v>
      </c>
      <c r="F298" s="3" t="s">
        <v>52</v>
      </c>
      <c r="G298" s="3">
        <v>9</v>
      </c>
      <c r="H298" s="3">
        <v>9</v>
      </c>
      <c r="I298" s="9"/>
    </row>
    <row r="299" spans="1:9" ht="14" x14ac:dyDescent="0.3">
      <c r="A299" s="3">
        <f>IF(B298=1, MAX(A$7:A298)+1, A298)</f>
        <v>6</v>
      </c>
      <c r="B299" s="3">
        <v>6</v>
      </c>
      <c r="C299" s="11" t="s">
        <v>733</v>
      </c>
      <c r="D299" s="3">
        <v>42</v>
      </c>
      <c r="E299" s="3">
        <v>42</v>
      </c>
      <c r="F299" s="3" t="s">
        <v>52</v>
      </c>
      <c r="G299" s="3">
        <v>9</v>
      </c>
      <c r="H299" s="3">
        <v>9</v>
      </c>
      <c r="I299" s="9"/>
    </row>
    <row r="300" spans="1:9" ht="14" x14ac:dyDescent="0.3">
      <c r="A300" s="3">
        <f>IF(B299=1, MAX(A$7:A299)+1, A299)</f>
        <v>6</v>
      </c>
      <c r="B300" s="3">
        <v>7</v>
      </c>
      <c r="C300" s="11" t="s">
        <v>734</v>
      </c>
      <c r="D300" s="3">
        <v>170</v>
      </c>
      <c r="E300" s="3">
        <v>170</v>
      </c>
      <c r="F300" s="3" t="s">
        <v>52</v>
      </c>
      <c r="G300" s="3">
        <v>9</v>
      </c>
      <c r="H300" s="3">
        <v>9</v>
      </c>
      <c r="I300" s="9"/>
    </row>
    <row r="301" spans="1:9" ht="14" x14ac:dyDescent="0.3">
      <c r="A301" s="3">
        <f>IF(B300=1, MAX(A$7:A300)+1, A300)</f>
        <v>6</v>
      </c>
      <c r="B301" s="3">
        <v>8</v>
      </c>
      <c r="C301" s="11" t="s">
        <v>735</v>
      </c>
      <c r="D301" s="3">
        <v>170</v>
      </c>
      <c r="E301" s="3">
        <v>170</v>
      </c>
      <c r="F301" s="3" t="s">
        <v>52</v>
      </c>
      <c r="G301" s="3">
        <v>9</v>
      </c>
      <c r="H301" s="3">
        <v>9</v>
      </c>
      <c r="I301" s="9"/>
    </row>
    <row r="302" spans="1:9" ht="14" x14ac:dyDescent="0.3">
      <c r="A302" s="3">
        <f>IF(B301=1, MAX(A$7:A301)+1, A301)</f>
        <v>6</v>
      </c>
      <c r="B302" s="3">
        <v>9</v>
      </c>
      <c r="C302" s="11" t="s">
        <v>736</v>
      </c>
      <c r="D302" s="3">
        <v>0</v>
      </c>
      <c r="E302" s="3">
        <v>0</v>
      </c>
      <c r="F302" s="3" t="s">
        <v>52</v>
      </c>
      <c r="G302" s="3">
        <v>9</v>
      </c>
      <c r="H302" s="3">
        <v>9</v>
      </c>
      <c r="I302" s="9"/>
    </row>
    <row r="303" spans="1:9" ht="14" x14ac:dyDescent="0.3">
      <c r="A303" s="3">
        <f>IF(B302=1, MAX(A$7:A302)+1, A302)</f>
        <v>6</v>
      </c>
      <c r="B303" s="3">
        <v>10</v>
      </c>
      <c r="C303" s="11" t="s">
        <v>737</v>
      </c>
      <c r="D303" s="3">
        <v>2</v>
      </c>
      <c r="E303" s="3">
        <v>2</v>
      </c>
      <c r="F303" s="3" t="s">
        <v>52</v>
      </c>
      <c r="G303" s="3">
        <v>9</v>
      </c>
      <c r="H303" s="3">
        <v>9</v>
      </c>
      <c r="I303" s="9"/>
    </row>
    <row r="304" spans="1:9" ht="14" x14ac:dyDescent="0.3">
      <c r="A304" s="3">
        <f>IF(B303=1, MAX(A$7:A303)+1, A303)</f>
        <v>6</v>
      </c>
      <c r="B304" s="3">
        <v>11</v>
      </c>
      <c r="C304" s="11" t="s">
        <v>738</v>
      </c>
      <c r="D304" s="3">
        <v>16</v>
      </c>
      <c r="E304" s="3">
        <v>16</v>
      </c>
      <c r="F304" s="3" t="s">
        <v>52</v>
      </c>
      <c r="G304" s="3">
        <v>9</v>
      </c>
      <c r="H304" s="3">
        <v>9</v>
      </c>
      <c r="I304" s="9"/>
    </row>
    <row r="305" spans="1:9" ht="14" x14ac:dyDescent="0.3">
      <c r="A305" s="3">
        <f>IF(B304=1, MAX(A$7:A304)+1, A304)</f>
        <v>6</v>
      </c>
      <c r="B305" s="3">
        <v>12</v>
      </c>
      <c r="C305" s="11" t="s">
        <v>739</v>
      </c>
      <c r="D305" s="3">
        <v>0</v>
      </c>
      <c r="E305" s="3">
        <v>16</v>
      </c>
      <c r="F305" s="3" t="s">
        <v>52</v>
      </c>
      <c r="G305" s="3">
        <v>9</v>
      </c>
      <c r="H305" s="3">
        <v>9</v>
      </c>
      <c r="I305" s="9"/>
    </row>
    <row r="306" spans="1:9" ht="14" x14ac:dyDescent="0.3">
      <c r="A306" s="3">
        <f>IF(B305=1, MAX(A$7:A305)+1, A305)</f>
        <v>6</v>
      </c>
      <c r="B306" s="3">
        <v>13</v>
      </c>
      <c r="C306" s="11" t="s">
        <v>740</v>
      </c>
      <c r="D306" s="3">
        <v>16</v>
      </c>
      <c r="E306" s="3">
        <v>16</v>
      </c>
      <c r="F306" s="3" t="s">
        <v>52</v>
      </c>
      <c r="G306" s="3">
        <v>9</v>
      </c>
      <c r="H306" s="3">
        <v>9</v>
      </c>
      <c r="I306" s="9"/>
    </row>
    <row r="307" spans="1:9" ht="14" x14ac:dyDescent="0.3">
      <c r="A307" s="3">
        <f>IF(B306=1, MAX(A$7:A306)+1, A306)</f>
        <v>6</v>
      </c>
      <c r="B307" s="3">
        <v>14</v>
      </c>
      <c r="C307" s="11" t="s">
        <v>741</v>
      </c>
      <c r="D307" s="3">
        <v>0</v>
      </c>
      <c r="E307" s="3">
        <v>16</v>
      </c>
      <c r="F307" s="3" t="s">
        <v>52</v>
      </c>
      <c r="G307" s="3">
        <v>9</v>
      </c>
      <c r="H307" s="3">
        <v>9</v>
      </c>
      <c r="I307" s="9"/>
    </row>
    <row r="308" spans="1:9" ht="14" x14ac:dyDescent="0.3">
      <c r="A308" s="3">
        <f>IF(B307=1, MAX(A$7:A307)+1, A307)</f>
        <v>6</v>
      </c>
      <c r="B308" s="3">
        <v>15</v>
      </c>
      <c r="C308" s="11" t="s">
        <v>742</v>
      </c>
      <c r="D308" s="3">
        <v>170</v>
      </c>
      <c r="E308" s="3">
        <v>170</v>
      </c>
      <c r="F308" s="3" t="s">
        <v>52</v>
      </c>
      <c r="G308" s="3">
        <v>9</v>
      </c>
      <c r="H308" s="3">
        <v>9</v>
      </c>
      <c r="I308" s="9"/>
    </row>
    <row r="309" spans="1:9" ht="14" x14ac:dyDescent="0.3">
      <c r="A309" s="3">
        <f>IF(B308=1, MAX(A$7:A308)+1, A308)</f>
        <v>6</v>
      </c>
      <c r="B309" s="3">
        <v>16</v>
      </c>
      <c r="C309" s="11" t="s">
        <v>743</v>
      </c>
      <c r="D309" s="3">
        <v>0</v>
      </c>
      <c r="E309" s="3">
        <v>254</v>
      </c>
      <c r="F309" s="3" t="s">
        <v>52</v>
      </c>
      <c r="G309" s="3">
        <v>9</v>
      </c>
      <c r="H309" s="3">
        <v>9</v>
      </c>
      <c r="I309" s="9"/>
    </row>
    <row r="310" spans="1:9" ht="14" x14ac:dyDescent="0.3">
      <c r="A310" s="3">
        <f>IF(B309=1, MAX(A$7:A309)+1, A309)</f>
        <v>6</v>
      </c>
      <c r="B310" s="3">
        <v>17</v>
      </c>
      <c r="C310" s="11" t="s">
        <v>744</v>
      </c>
      <c r="D310" s="3">
        <v>0</v>
      </c>
      <c r="E310" s="3">
        <v>254</v>
      </c>
      <c r="F310" s="3" t="s">
        <v>52</v>
      </c>
      <c r="G310" s="3">
        <v>9</v>
      </c>
      <c r="H310" s="3">
        <v>9</v>
      </c>
      <c r="I310" s="9"/>
    </row>
    <row r="311" spans="1:9" ht="14" x14ac:dyDescent="0.3">
      <c r="A311" s="3">
        <f>IF(B310=1, MAX(A$7:A310)+1, A310)</f>
        <v>6</v>
      </c>
      <c r="B311" s="3">
        <v>18</v>
      </c>
      <c r="C311" s="11" t="s">
        <v>745</v>
      </c>
      <c r="D311" s="3">
        <v>0</v>
      </c>
      <c r="E311" s="3">
        <v>254</v>
      </c>
      <c r="F311" s="3" t="s">
        <v>52</v>
      </c>
      <c r="G311" s="3">
        <v>9</v>
      </c>
      <c r="H311" s="3">
        <v>9</v>
      </c>
      <c r="I311" s="9"/>
    </row>
    <row r="312" spans="1:9" ht="14" x14ac:dyDescent="0.3">
      <c r="A312" s="3">
        <f>IF(B311=1, MAX(A$7:A311)+1, A311)</f>
        <v>6</v>
      </c>
      <c r="B312" s="3">
        <v>19</v>
      </c>
      <c r="C312" s="11" t="s">
        <v>746</v>
      </c>
      <c r="D312" s="3">
        <v>0</v>
      </c>
      <c r="E312" s="3">
        <v>8</v>
      </c>
      <c r="F312" s="3" t="s">
        <v>52</v>
      </c>
      <c r="G312" s="3">
        <v>9</v>
      </c>
      <c r="H312" s="3">
        <v>9</v>
      </c>
      <c r="I312" s="9"/>
    </row>
    <row r="313" spans="1:9" ht="14" x14ac:dyDescent="0.3">
      <c r="A313" s="3">
        <f>IF(B312=1, MAX(A$7:A312)+1, A312)</f>
        <v>6</v>
      </c>
      <c r="B313" s="3">
        <v>20</v>
      </c>
      <c r="C313" s="11" t="s">
        <v>747</v>
      </c>
      <c r="D313" s="3">
        <v>10</v>
      </c>
      <c r="E313" s="3">
        <v>10</v>
      </c>
      <c r="F313" s="3" t="s">
        <v>52</v>
      </c>
      <c r="G313" s="3">
        <v>9</v>
      </c>
      <c r="H313" s="3">
        <v>9</v>
      </c>
      <c r="I313" s="9"/>
    </row>
    <row r="314" spans="1:9" ht="14" x14ac:dyDescent="0.3">
      <c r="A314" s="3">
        <f>IF(B313=1, MAX(A$7:A313)+1, A313)</f>
        <v>6</v>
      </c>
      <c r="B314" s="3">
        <v>21</v>
      </c>
      <c r="C314" s="11" t="s">
        <v>748</v>
      </c>
      <c r="D314" s="3">
        <v>2</v>
      </c>
      <c r="E314" s="3">
        <v>2</v>
      </c>
      <c r="F314" s="3" t="s">
        <v>52</v>
      </c>
      <c r="G314" s="3">
        <v>9</v>
      </c>
      <c r="H314" s="3">
        <v>9</v>
      </c>
      <c r="I314" s="9"/>
    </row>
    <row r="315" spans="1:9" ht="14" x14ac:dyDescent="0.3">
      <c r="A315" s="3">
        <f>IF(B314=1, MAX(A$7:A314)+1, A314)</f>
        <v>6</v>
      </c>
      <c r="B315" s="3">
        <v>22</v>
      </c>
      <c r="C315" s="11" t="s">
        <v>749</v>
      </c>
      <c r="D315" s="3">
        <v>170</v>
      </c>
      <c r="E315" s="3">
        <v>170</v>
      </c>
      <c r="F315" s="3" t="s">
        <v>52</v>
      </c>
      <c r="G315" s="3">
        <v>9</v>
      </c>
      <c r="H315" s="3">
        <v>9</v>
      </c>
      <c r="I315" s="9"/>
    </row>
    <row r="316" spans="1:9" ht="14" x14ac:dyDescent="0.3">
      <c r="A316" s="3">
        <f>IF(B315=1, MAX(A$7:A315)+1, A315)</f>
        <v>6</v>
      </c>
      <c r="B316" s="3">
        <v>23</v>
      </c>
      <c r="C316" s="11" t="s">
        <v>750</v>
      </c>
      <c r="D316" s="3">
        <v>170</v>
      </c>
      <c r="E316" s="3">
        <v>170</v>
      </c>
      <c r="F316" s="3" t="s">
        <v>52</v>
      </c>
      <c r="G316" s="3">
        <v>9</v>
      </c>
      <c r="H316" s="3">
        <v>9</v>
      </c>
      <c r="I316" s="9"/>
    </row>
    <row r="317" spans="1:9" ht="14" x14ac:dyDescent="0.3">
      <c r="A317" s="3">
        <f>IF(B316=1, MAX(A$7:A316)+1, A316)</f>
        <v>6</v>
      </c>
      <c r="B317" s="3">
        <v>24</v>
      </c>
      <c r="C317" s="11" t="s">
        <v>751</v>
      </c>
      <c r="D317" s="3">
        <v>8</v>
      </c>
      <c r="E317" s="3">
        <v>8</v>
      </c>
      <c r="F317" s="3" t="s">
        <v>52</v>
      </c>
      <c r="G317" s="3">
        <v>9</v>
      </c>
      <c r="H317" s="3">
        <v>9</v>
      </c>
      <c r="I317" s="9"/>
    </row>
    <row r="318" spans="1:9" ht="14" x14ac:dyDescent="0.3">
      <c r="A318" s="3">
        <f>IF(B317=1, MAX(A$7:A317)+1, A317)</f>
        <v>6</v>
      </c>
      <c r="B318" s="3">
        <v>25</v>
      </c>
      <c r="C318" s="11" t="s">
        <v>752</v>
      </c>
      <c r="D318" s="3">
        <v>10</v>
      </c>
      <c r="E318" s="3">
        <v>10</v>
      </c>
      <c r="F318" s="3" t="s">
        <v>52</v>
      </c>
      <c r="G318" s="3">
        <v>9</v>
      </c>
      <c r="H318" s="3">
        <v>9</v>
      </c>
      <c r="I318" s="9"/>
    </row>
    <row r="319" spans="1:9" ht="14" x14ac:dyDescent="0.3">
      <c r="A319" s="3">
        <f>IF(B318=1, MAX(A$7:A318)+1, A318)</f>
        <v>6</v>
      </c>
      <c r="B319" s="3">
        <v>26</v>
      </c>
      <c r="C319" s="11" t="s">
        <v>753</v>
      </c>
      <c r="D319" s="3">
        <v>2</v>
      </c>
      <c r="E319" s="3">
        <v>2</v>
      </c>
      <c r="F319" s="3" t="s">
        <v>52</v>
      </c>
      <c r="G319" s="3">
        <v>9</v>
      </c>
      <c r="H319" s="3">
        <v>9</v>
      </c>
      <c r="I319" s="9"/>
    </row>
    <row r="320" spans="1:9" ht="14" x14ac:dyDescent="0.3">
      <c r="A320" s="3">
        <f>IF(B319=1, MAX(A$7:A319)+1, A319)</f>
        <v>6</v>
      </c>
      <c r="B320" s="3">
        <v>27</v>
      </c>
      <c r="C320" s="11" t="s">
        <v>754</v>
      </c>
      <c r="D320" s="3">
        <v>170</v>
      </c>
      <c r="E320" s="3">
        <v>170</v>
      </c>
      <c r="F320" s="3" t="s">
        <v>52</v>
      </c>
      <c r="G320" s="3">
        <v>9</v>
      </c>
      <c r="H320" s="3">
        <v>9</v>
      </c>
      <c r="I320" s="9"/>
    </row>
    <row r="321" spans="1:9" ht="14" x14ac:dyDescent="0.3">
      <c r="A321" s="3">
        <f>IF(B320=1, MAX(A$7:A320)+1, A320)</f>
        <v>6</v>
      </c>
      <c r="B321" s="3">
        <v>28</v>
      </c>
      <c r="C321" s="11" t="s">
        <v>755</v>
      </c>
      <c r="D321" s="3">
        <v>170</v>
      </c>
      <c r="E321" s="3">
        <v>170</v>
      </c>
      <c r="F321" s="3" t="s">
        <v>52</v>
      </c>
      <c r="G321" s="3">
        <v>9</v>
      </c>
      <c r="H321" s="3">
        <v>9</v>
      </c>
      <c r="I321" s="9"/>
    </row>
    <row r="322" spans="1:9" ht="14" x14ac:dyDescent="0.3">
      <c r="A322" s="3">
        <f>IF(B321=1, MAX(A$7:A321)+1, A321)</f>
        <v>6</v>
      </c>
      <c r="B322" s="3">
        <v>29</v>
      </c>
      <c r="C322" s="11" t="s">
        <v>756</v>
      </c>
      <c r="D322" s="3">
        <v>42</v>
      </c>
      <c r="E322" s="3">
        <v>42</v>
      </c>
      <c r="F322" s="3" t="s">
        <v>52</v>
      </c>
      <c r="G322" s="3">
        <v>9</v>
      </c>
      <c r="H322" s="3">
        <v>9</v>
      </c>
      <c r="I322" s="9"/>
    </row>
    <row r="323" spans="1:9" ht="14" x14ac:dyDescent="0.3">
      <c r="A323" s="3">
        <f>IF(B322=1, MAX(A$7:A322)+1, A322)</f>
        <v>6</v>
      </c>
      <c r="B323" s="3">
        <v>1</v>
      </c>
      <c r="C323" s="11" t="s">
        <v>757</v>
      </c>
      <c r="D323" s="3">
        <v>0</v>
      </c>
      <c r="E323" s="3">
        <v>254</v>
      </c>
      <c r="F323" s="3" t="s">
        <v>52</v>
      </c>
      <c r="G323" s="3">
        <v>9</v>
      </c>
      <c r="H323" s="3">
        <v>9</v>
      </c>
      <c r="I323" s="9"/>
    </row>
    <row r="324" spans="1:9" ht="14" x14ac:dyDescent="0.3">
      <c r="A324" s="3">
        <f>IF(B323=1, MAX(A$7:A323)+1, A323)</f>
        <v>7</v>
      </c>
      <c r="B324" s="3">
        <v>2</v>
      </c>
      <c r="C324" s="11" t="s">
        <v>758</v>
      </c>
      <c r="D324" s="3">
        <v>0</v>
      </c>
      <c r="E324" s="3">
        <v>254</v>
      </c>
      <c r="F324" s="3" t="s">
        <v>52</v>
      </c>
      <c r="G324" s="3">
        <v>9</v>
      </c>
      <c r="H324" s="3">
        <v>9</v>
      </c>
      <c r="I324" s="9"/>
    </row>
    <row r="325" spans="1:9" ht="14" x14ac:dyDescent="0.3">
      <c r="A325" s="3">
        <f>IF(B324=1, MAX(A$7:A324)+1, A324)</f>
        <v>7</v>
      </c>
      <c r="B325" s="3">
        <v>3</v>
      </c>
      <c r="C325" s="11" t="s">
        <v>759</v>
      </c>
      <c r="D325" s="3">
        <v>0</v>
      </c>
      <c r="E325" s="3">
        <v>254</v>
      </c>
      <c r="F325" s="3" t="s">
        <v>52</v>
      </c>
      <c r="G325" s="3">
        <v>9</v>
      </c>
      <c r="H325" s="3">
        <v>9</v>
      </c>
      <c r="I325" s="9"/>
    </row>
    <row r="326" spans="1:9" ht="14" x14ac:dyDescent="0.3">
      <c r="A326" s="3">
        <f>IF(B325=1, MAX(A$7:A325)+1, A325)</f>
        <v>7</v>
      </c>
      <c r="B326" s="3">
        <v>4</v>
      </c>
      <c r="C326" s="11" t="s">
        <v>760</v>
      </c>
      <c r="D326" s="3">
        <v>0</v>
      </c>
      <c r="E326" s="3">
        <v>254</v>
      </c>
      <c r="F326" s="3" t="s">
        <v>52</v>
      </c>
      <c r="G326" s="3">
        <v>9</v>
      </c>
      <c r="H326" s="3">
        <v>9</v>
      </c>
      <c r="I326" s="9"/>
    </row>
    <row r="327" spans="1:9" ht="14" x14ac:dyDescent="0.3">
      <c r="A327" s="3">
        <f>IF(B326=1, MAX(A$7:A326)+1, A326)</f>
        <v>7</v>
      </c>
      <c r="B327" s="3">
        <v>5</v>
      </c>
      <c r="C327" s="11" t="s">
        <v>761</v>
      </c>
      <c r="D327" s="3">
        <v>85</v>
      </c>
      <c r="E327" s="3">
        <v>85</v>
      </c>
      <c r="F327" s="3" t="s">
        <v>52</v>
      </c>
      <c r="G327" s="3">
        <v>9</v>
      </c>
      <c r="H327" s="3">
        <v>9</v>
      </c>
      <c r="I327" s="9"/>
    </row>
    <row r="328" spans="1:9" ht="14" x14ac:dyDescent="0.3">
      <c r="A328" s="3">
        <f>IF(B327=1, MAX(A$7:A327)+1, A327)</f>
        <v>7</v>
      </c>
      <c r="B328" s="3">
        <v>6</v>
      </c>
      <c r="C328" s="11" t="s">
        <v>762</v>
      </c>
      <c r="D328" s="3">
        <v>85</v>
      </c>
      <c r="E328" s="3">
        <v>85</v>
      </c>
      <c r="F328" s="3" t="s">
        <v>52</v>
      </c>
      <c r="G328" s="3">
        <v>9</v>
      </c>
      <c r="H328" s="3">
        <v>9</v>
      </c>
      <c r="I328" s="9"/>
    </row>
    <row r="329" spans="1:9" ht="14" x14ac:dyDescent="0.3">
      <c r="A329" s="3">
        <f>IF(B328=1, MAX(A$7:A328)+1, A328)</f>
        <v>7</v>
      </c>
      <c r="B329" s="3">
        <v>7</v>
      </c>
      <c r="C329" s="11" t="s">
        <v>763</v>
      </c>
      <c r="D329" s="3">
        <v>85</v>
      </c>
      <c r="E329" s="3">
        <v>85</v>
      </c>
      <c r="F329" s="3" t="s">
        <v>52</v>
      </c>
      <c r="G329" s="3">
        <v>9</v>
      </c>
      <c r="H329" s="3">
        <v>9</v>
      </c>
      <c r="I329" s="9"/>
    </row>
    <row r="330" spans="1:9" ht="14" x14ac:dyDescent="0.3">
      <c r="A330" s="3">
        <f>IF(B329=1, MAX(A$7:A329)+1, A329)</f>
        <v>7</v>
      </c>
      <c r="B330" s="3">
        <v>8</v>
      </c>
      <c r="C330" s="11" t="s">
        <v>764</v>
      </c>
      <c r="D330" s="3">
        <v>85</v>
      </c>
      <c r="E330" s="3">
        <v>85</v>
      </c>
      <c r="F330" s="3" t="s">
        <v>52</v>
      </c>
      <c r="G330" s="3">
        <v>9</v>
      </c>
      <c r="H330" s="3">
        <v>9</v>
      </c>
      <c r="I330" s="9"/>
    </row>
    <row r="331" spans="1:9" ht="14" x14ac:dyDescent="0.3">
      <c r="A331" s="3">
        <f>IF(B330=1, MAX(A$7:A330)+1, A330)</f>
        <v>7</v>
      </c>
      <c r="B331" s="3">
        <v>9</v>
      </c>
      <c r="C331" s="11" t="s">
        <v>765</v>
      </c>
      <c r="D331" s="3">
        <v>0</v>
      </c>
      <c r="E331" s="3">
        <v>0</v>
      </c>
      <c r="F331" s="3" t="s">
        <v>52</v>
      </c>
      <c r="G331" s="3">
        <v>9</v>
      </c>
      <c r="H331" s="3">
        <v>9</v>
      </c>
      <c r="I331" s="9"/>
    </row>
    <row r="332" spans="1:9" ht="14" x14ac:dyDescent="0.3">
      <c r="A332" s="3">
        <f>IF(B331=1, MAX(A$7:A331)+1, A331)</f>
        <v>7</v>
      </c>
      <c r="B332" s="3">
        <v>10</v>
      </c>
      <c r="C332" s="11" t="s">
        <v>766</v>
      </c>
      <c r="D332" s="3">
        <v>2</v>
      </c>
      <c r="E332" s="3">
        <v>2</v>
      </c>
      <c r="F332" s="3" t="s">
        <v>52</v>
      </c>
      <c r="G332" s="3">
        <v>9</v>
      </c>
      <c r="H332" s="3">
        <v>9</v>
      </c>
      <c r="I332" s="9"/>
    </row>
    <row r="333" spans="1:9" ht="14" x14ac:dyDescent="0.3">
      <c r="A333" s="3">
        <f>IF(B332=1, MAX(A$7:A332)+1, A332)</f>
        <v>7</v>
      </c>
      <c r="B333" s="3">
        <v>11</v>
      </c>
      <c r="C333" s="11" t="s">
        <v>767</v>
      </c>
      <c r="D333" s="3">
        <v>16</v>
      </c>
      <c r="E333" s="3">
        <v>16</v>
      </c>
      <c r="F333" s="3" t="s">
        <v>52</v>
      </c>
      <c r="G333" s="3">
        <v>9</v>
      </c>
      <c r="H333" s="3">
        <v>9</v>
      </c>
      <c r="I333" s="9"/>
    </row>
    <row r="334" spans="1:9" ht="14" x14ac:dyDescent="0.3">
      <c r="A334" s="3">
        <f>IF(B333=1, MAX(A$7:A333)+1, A333)</f>
        <v>7</v>
      </c>
      <c r="B334" s="3">
        <v>12</v>
      </c>
      <c r="C334" s="11" t="s">
        <v>768</v>
      </c>
      <c r="D334" s="3">
        <v>0</v>
      </c>
      <c r="E334" s="3">
        <v>0</v>
      </c>
      <c r="F334" s="3" t="s">
        <v>52</v>
      </c>
      <c r="G334" s="3">
        <v>9</v>
      </c>
      <c r="H334" s="3">
        <v>9</v>
      </c>
      <c r="I334" s="9"/>
    </row>
    <row r="335" spans="1:9" ht="14" x14ac:dyDescent="0.3">
      <c r="A335" s="3">
        <f>IF(B334=1, MAX(A$7:A334)+1, A334)</f>
        <v>7</v>
      </c>
      <c r="B335" s="3">
        <v>13</v>
      </c>
      <c r="C335" s="11" t="s">
        <v>769</v>
      </c>
      <c r="D335" s="3">
        <v>16</v>
      </c>
      <c r="E335" s="3">
        <v>16</v>
      </c>
      <c r="F335" s="3" t="s">
        <v>52</v>
      </c>
      <c r="G335" s="3">
        <v>9</v>
      </c>
      <c r="H335" s="3">
        <v>9</v>
      </c>
      <c r="I335" s="9"/>
    </row>
    <row r="336" spans="1:9" ht="14" x14ac:dyDescent="0.3">
      <c r="A336" s="3">
        <f>IF(B335=1, MAX(A$7:A335)+1, A335)</f>
        <v>7</v>
      </c>
      <c r="B336" s="3">
        <v>14</v>
      </c>
      <c r="C336" s="11" t="s">
        <v>770</v>
      </c>
      <c r="D336" s="3">
        <v>0</v>
      </c>
      <c r="E336" s="3">
        <v>0</v>
      </c>
      <c r="F336" s="3" t="s">
        <v>52</v>
      </c>
      <c r="G336" s="3">
        <v>9</v>
      </c>
      <c r="H336" s="3">
        <v>9</v>
      </c>
      <c r="I336" s="9"/>
    </row>
    <row r="337" spans="1:9" ht="14" x14ac:dyDescent="0.3">
      <c r="A337" s="3">
        <f>IF(B336=1, MAX(A$7:A336)+1, A336)</f>
        <v>7</v>
      </c>
      <c r="B337" s="3">
        <v>15</v>
      </c>
      <c r="C337" s="11" t="s">
        <v>771</v>
      </c>
      <c r="D337" s="3">
        <v>85</v>
      </c>
      <c r="E337" s="3">
        <v>85</v>
      </c>
      <c r="F337" s="3" t="s">
        <v>52</v>
      </c>
      <c r="G337" s="3">
        <v>9</v>
      </c>
      <c r="H337" s="3">
        <v>9</v>
      </c>
      <c r="I337" s="9"/>
    </row>
    <row r="338" spans="1:9" ht="14" x14ac:dyDescent="0.3">
      <c r="A338" s="3">
        <f>IF(B337=1, MAX(A$7:A337)+1, A337)</f>
        <v>7</v>
      </c>
      <c r="B338" s="3">
        <v>16</v>
      </c>
      <c r="C338" s="11" t="s">
        <v>772</v>
      </c>
      <c r="D338" s="3">
        <v>21</v>
      </c>
      <c r="E338" s="3">
        <v>21</v>
      </c>
      <c r="F338" s="3" t="s">
        <v>52</v>
      </c>
      <c r="G338" s="3">
        <v>9</v>
      </c>
      <c r="H338" s="3">
        <v>9</v>
      </c>
      <c r="I338" s="9"/>
    </row>
    <row r="339" spans="1:9" ht="14" x14ac:dyDescent="0.3">
      <c r="A339" s="3">
        <f>IF(B338=1, MAX(A$7:A338)+1, A338)</f>
        <v>7</v>
      </c>
      <c r="B339" s="3">
        <v>17</v>
      </c>
      <c r="C339" s="11" t="s">
        <v>773</v>
      </c>
      <c r="D339" s="3">
        <v>85</v>
      </c>
      <c r="E339" s="3">
        <v>85</v>
      </c>
      <c r="F339" s="3" t="s">
        <v>52</v>
      </c>
      <c r="G339" s="3">
        <v>9</v>
      </c>
      <c r="H339" s="3">
        <v>9</v>
      </c>
      <c r="I339" s="9"/>
    </row>
    <row r="340" spans="1:9" ht="14" x14ac:dyDescent="0.3">
      <c r="A340" s="3">
        <f>IF(B339=1, MAX(A$7:A339)+1, A339)</f>
        <v>7</v>
      </c>
      <c r="B340" s="3">
        <v>18</v>
      </c>
      <c r="C340" s="11" t="s">
        <v>774</v>
      </c>
      <c r="D340" s="3">
        <v>85</v>
      </c>
      <c r="E340" s="3">
        <v>85</v>
      </c>
      <c r="F340" s="3" t="s">
        <v>52</v>
      </c>
      <c r="G340" s="3">
        <v>9</v>
      </c>
      <c r="H340" s="3">
        <v>9</v>
      </c>
      <c r="I340" s="9"/>
    </row>
    <row r="341" spans="1:9" ht="14" x14ac:dyDescent="0.3">
      <c r="A341" s="3">
        <f>IF(B340=1, MAX(A$7:A340)+1, A340)</f>
        <v>7</v>
      </c>
      <c r="B341" s="3">
        <v>19</v>
      </c>
      <c r="C341" s="11" t="s">
        <v>775</v>
      </c>
      <c r="D341" s="3">
        <v>0</v>
      </c>
      <c r="E341" s="3">
        <v>0</v>
      </c>
      <c r="F341" s="3" t="s">
        <v>52</v>
      </c>
      <c r="G341" s="3">
        <v>9</v>
      </c>
      <c r="H341" s="3">
        <v>9</v>
      </c>
      <c r="I341" s="9"/>
    </row>
    <row r="342" spans="1:9" ht="14" x14ac:dyDescent="0.3">
      <c r="A342" s="3">
        <f>IF(B341=1, MAX(A$7:A341)+1, A341)</f>
        <v>7</v>
      </c>
      <c r="B342" s="3">
        <v>20</v>
      </c>
      <c r="C342" s="11" t="s">
        <v>776</v>
      </c>
      <c r="D342" s="3">
        <v>21</v>
      </c>
      <c r="E342" s="3">
        <v>21</v>
      </c>
      <c r="F342" s="3" t="s">
        <v>52</v>
      </c>
      <c r="G342" s="3">
        <v>9</v>
      </c>
      <c r="H342" s="3">
        <v>9</v>
      </c>
      <c r="I342" s="9"/>
    </row>
    <row r="343" spans="1:9" ht="14" x14ac:dyDescent="0.3">
      <c r="A343" s="3">
        <f>IF(B342=1, MAX(A$7:A342)+1, A342)</f>
        <v>7</v>
      </c>
      <c r="B343" s="3">
        <v>21</v>
      </c>
      <c r="C343" s="11" t="s">
        <v>777</v>
      </c>
      <c r="D343" s="3">
        <v>1</v>
      </c>
      <c r="E343" s="3">
        <v>1</v>
      </c>
      <c r="F343" s="3" t="s">
        <v>52</v>
      </c>
      <c r="G343" s="3">
        <v>9</v>
      </c>
      <c r="H343" s="3">
        <v>9</v>
      </c>
      <c r="I343" s="9"/>
    </row>
    <row r="344" spans="1:9" ht="14" x14ac:dyDescent="0.3">
      <c r="A344" s="3">
        <f>IF(B343=1, MAX(A$7:A343)+1, A343)</f>
        <v>7</v>
      </c>
      <c r="B344" s="3">
        <v>22</v>
      </c>
      <c r="C344" s="11" t="s">
        <v>778</v>
      </c>
      <c r="D344" s="3">
        <v>85</v>
      </c>
      <c r="E344" s="3">
        <v>85</v>
      </c>
      <c r="F344" s="3" t="s">
        <v>52</v>
      </c>
      <c r="G344" s="3">
        <v>9</v>
      </c>
      <c r="H344" s="3">
        <v>9</v>
      </c>
      <c r="I344" s="9"/>
    </row>
    <row r="345" spans="1:9" ht="14" x14ac:dyDescent="0.3">
      <c r="A345" s="3">
        <f>IF(B344=1, MAX(A$7:A344)+1, A344)</f>
        <v>7</v>
      </c>
      <c r="B345" s="3">
        <v>23</v>
      </c>
      <c r="C345" s="11" t="s">
        <v>779</v>
      </c>
      <c r="D345" s="3">
        <v>85</v>
      </c>
      <c r="E345" s="3">
        <v>85</v>
      </c>
      <c r="F345" s="3" t="s">
        <v>52</v>
      </c>
      <c r="G345" s="3">
        <v>9</v>
      </c>
      <c r="H345" s="3">
        <v>9</v>
      </c>
      <c r="I345" s="9"/>
    </row>
    <row r="346" spans="1:9" ht="14" x14ac:dyDescent="0.3">
      <c r="A346" s="3">
        <f>IF(B345=1, MAX(A$7:A345)+1, A345)</f>
        <v>7</v>
      </c>
      <c r="B346" s="3">
        <v>24</v>
      </c>
      <c r="C346" s="11" t="s">
        <v>780</v>
      </c>
      <c r="D346" s="3">
        <v>0</v>
      </c>
      <c r="E346" s="3">
        <v>0</v>
      </c>
      <c r="F346" s="3" t="s">
        <v>52</v>
      </c>
      <c r="G346" s="3">
        <v>9</v>
      </c>
      <c r="H346" s="3">
        <v>9</v>
      </c>
      <c r="I346" s="9"/>
    </row>
    <row r="347" spans="1:9" ht="14" x14ac:dyDescent="0.3">
      <c r="A347" s="3">
        <f>IF(B346=1, MAX(A$7:A346)+1, A346)</f>
        <v>7</v>
      </c>
      <c r="B347" s="3">
        <v>25</v>
      </c>
      <c r="C347" s="11" t="s">
        <v>781</v>
      </c>
      <c r="D347" s="3">
        <v>21</v>
      </c>
      <c r="E347" s="3">
        <v>21</v>
      </c>
      <c r="F347" s="3" t="s">
        <v>52</v>
      </c>
      <c r="G347" s="3">
        <v>9</v>
      </c>
      <c r="H347" s="3">
        <v>9</v>
      </c>
      <c r="I347" s="9"/>
    </row>
    <row r="348" spans="1:9" ht="14" x14ac:dyDescent="0.3">
      <c r="A348" s="3">
        <f>IF(B347=1, MAX(A$7:A347)+1, A347)</f>
        <v>7</v>
      </c>
      <c r="B348" s="3">
        <v>26</v>
      </c>
      <c r="C348" s="11" t="s">
        <v>782</v>
      </c>
      <c r="D348" s="3">
        <v>1</v>
      </c>
      <c r="E348" s="3">
        <v>1</v>
      </c>
      <c r="F348" s="3" t="s">
        <v>52</v>
      </c>
      <c r="G348" s="3">
        <v>9</v>
      </c>
      <c r="H348" s="3">
        <v>9</v>
      </c>
      <c r="I348" s="9"/>
    </row>
    <row r="349" spans="1:9" ht="14" x14ac:dyDescent="0.3">
      <c r="A349" s="3">
        <f>IF(B348=1, MAX(A$7:A348)+1, A348)</f>
        <v>7</v>
      </c>
      <c r="B349" s="3">
        <v>27</v>
      </c>
      <c r="C349" s="11" t="s">
        <v>783</v>
      </c>
      <c r="D349" s="3">
        <v>85</v>
      </c>
      <c r="E349" s="3">
        <v>85</v>
      </c>
      <c r="F349" s="3" t="s">
        <v>52</v>
      </c>
      <c r="G349" s="3">
        <v>9</v>
      </c>
      <c r="H349" s="3">
        <v>9</v>
      </c>
      <c r="I349" s="9"/>
    </row>
    <row r="350" spans="1:9" ht="14" x14ac:dyDescent="0.3">
      <c r="A350" s="3">
        <f>IF(B349=1, MAX(A$7:A349)+1, A349)</f>
        <v>7</v>
      </c>
      <c r="B350" s="3">
        <v>28</v>
      </c>
      <c r="C350" s="11" t="s">
        <v>784</v>
      </c>
      <c r="D350" s="3">
        <v>85</v>
      </c>
      <c r="E350" s="3">
        <v>85</v>
      </c>
      <c r="F350" s="3" t="s">
        <v>52</v>
      </c>
      <c r="G350" s="3">
        <v>9</v>
      </c>
      <c r="H350" s="3">
        <v>9</v>
      </c>
      <c r="I350" s="9"/>
    </row>
    <row r="351" spans="1:9" ht="14" x14ac:dyDescent="0.3">
      <c r="A351" s="3">
        <f>IF(B350=1, MAX(A$7:A350)+1, A350)</f>
        <v>7</v>
      </c>
      <c r="B351" s="3">
        <v>29</v>
      </c>
      <c r="C351" s="11" t="s">
        <v>785</v>
      </c>
      <c r="D351" s="3">
        <v>21</v>
      </c>
      <c r="E351" s="3">
        <v>21</v>
      </c>
      <c r="F351" s="3" t="s">
        <v>52</v>
      </c>
      <c r="G351" s="3">
        <v>9</v>
      </c>
      <c r="H351" s="3">
        <v>9</v>
      </c>
      <c r="I351" s="9"/>
    </row>
    <row r="352" spans="1:9" ht="14" x14ac:dyDescent="0.3">
      <c r="A352" s="3">
        <f>IF(B351=1, MAX(A$7:A351)+1, A351)</f>
        <v>7</v>
      </c>
      <c r="B352" s="3">
        <v>1</v>
      </c>
      <c r="C352" s="11" t="s">
        <v>50</v>
      </c>
      <c r="D352" s="3">
        <v>1</v>
      </c>
      <c r="E352" s="3">
        <v>3</v>
      </c>
      <c r="F352" s="3" t="s">
        <v>8</v>
      </c>
      <c r="G352" s="3">
        <v>12</v>
      </c>
      <c r="H352" s="3">
        <v>12</v>
      </c>
      <c r="I352" s="9"/>
    </row>
    <row r="353" spans="1:9" ht="14" x14ac:dyDescent="0.3">
      <c r="A353" s="3">
        <f>IF(B352=1, MAX(A$7:A352)+1, A352)</f>
        <v>8</v>
      </c>
      <c r="B353" s="3">
        <v>2</v>
      </c>
      <c r="C353" s="11" t="s">
        <v>51</v>
      </c>
      <c r="D353" s="3">
        <v>0</v>
      </c>
      <c r="E353" s="3">
        <v>255</v>
      </c>
      <c r="F353" s="3" t="s">
        <v>52</v>
      </c>
      <c r="G353" s="3">
        <v>12</v>
      </c>
      <c r="H353" s="3">
        <v>12</v>
      </c>
      <c r="I353" s="9"/>
    </row>
    <row r="354" spans="1:9" ht="14" x14ac:dyDescent="0.3">
      <c r="A354" s="3">
        <f>IF(B353=1, MAX(A$7:A353)+1, A353)</f>
        <v>8</v>
      </c>
      <c r="B354" s="3">
        <v>3</v>
      </c>
      <c r="C354" s="11" t="s">
        <v>53</v>
      </c>
      <c r="D354" s="3">
        <v>1.21</v>
      </c>
      <c r="E354" s="3">
        <v>1.25</v>
      </c>
      <c r="F354" s="3" t="s">
        <v>8</v>
      </c>
      <c r="G354" s="3">
        <v>12</v>
      </c>
      <c r="H354" s="3">
        <v>12</v>
      </c>
      <c r="I354" s="9"/>
    </row>
    <row r="355" spans="1:9" ht="14" x14ac:dyDescent="0.3">
      <c r="A355" s="3">
        <f>IF(B354=1, MAX(A$7:A354)+1, A354)</f>
        <v>8</v>
      </c>
      <c r="B355" s="3">
        <v>4</v>
      </c>
      <c r="C355" s="11" t="s">
        <v>54</v>
      </c>
      <c r="D355" s="3">
        <v>0</v>
      </c>
      <c r="E355" s="3">
        <v>255</v>
      </c>
      <c r="F355" s="3" t="s">
        <v>52</v>
      </c>
      <c r="G355" s="3">
        <v>12</v>
      </c>
      <c r="H355" s="3">
        <v>12</v>
      </c>
      <c r="I355" s="9"/>
    </row>
    <row r="356" spans="1:9" ht="14" x14ac:dyDescent="0.3">
      <c r="A356" s="3">
        <f>IF(B355=1, MAX(A$7:A355)+1, A355)</f>
        <v>8</v>
      </c>
      <c r="B356" s="3">
        <v>5</v>
      </c>
      <c r="C356" s="11" t="s">
        <v>55</v>
      </c>
      <c r="D356" s="3">
        <v>1.23</v>
      </c>
      <c r="E356" s="3">
        <v>1.23</v>
      </c>
      <c r="F356" s="3" t="s">
        <v>8</v>
      </c>
      <c r="G356" s="3">
        <v>12</v>
      </c>
      <c r="H356" s="3">
        <v>12</v>
      </c>
      <c r="I356" s="9"/>
    </row>
    <row r="357" spans="1:9" ht="14" x14ac:dyDescent="0.3">
      <c r="A357" s="3">
        <f>IF(B356=1, MAX(A$7:A356)+1, A356)</f>
        <v>8</v>
      </c>
      <c r="B357" s="3">
        <v>1</v>
      </c>
      <c r="C357" s="11" t="s">
        <v>786</v>
      </c>
      <c r="D357" s="3">
        <v>0.9</v>
      </c>
      <c r="E357" s="3">
        <v>3</v>
      </c>
      <c r="F357" s="3" t="s">
        <v>8</v>
      </c>
      <c r="G357" s="3">
        <v>12</v>
      </c>
      <c r="H357" s="3">
        <v>12</v>
      </c>
      <c r="I357" s="9"/>
    </row>
    <row r="358" spans="1:9" ht="14" x14ac:dyDescent="0.3">
      <c r="A358" s="3">
        <f>IF(B357=1, MAX(A$7:A357)+1, A357)</f>
        <v>9</v>
      </c>
      <c r="B358" s="3">
        <v>2</v>
      </c>
      <c r="C358" s="11" t="s">
        <v>787</v>
      </c>
      <c r="D358" s="3">
        <v>0</v>
      </c>
      <c r="E358" s="3">
        <v>255</v>
      </c>
      <c r="F358" s="3" t="s">
        <v>52</v>
      </c>
      <c r="G358" s="3">
        <v>12</v>
      </c>
      <c r="H358" s="3">
        <v>12</v>
      </c>
      <c r="I358" s="9"/>
    </row>
    <row r="359" spans="1:9" ht="14" x14ac:dyDescent="0.3">
      <c r="A359" s="3">
        <f>IF(B358=1, MAX(A$7:A358)+1, A358)</f>
        <v>9</v>
      </c>
      <c r="B359" s="3">
        <v>3</v>
      </c>
      <c r="C359" s="11" t="s">
        <v>788</v>
      </c>
      <c r="D359" s="3">
        <v>1.0900000000000001</v>
      </c>
      <c r="E359" s="3">
        <v>1.1100000000000001</v>
      </c>
      <c r="F359" s="3" t="s">
        <v>8</v>
      </c>
      <c r="G359" s="3">
        <v>12</v>
      </c>
      <c r="H359" s="3">
        <v>12</v>
      </c>
      <c r="I359" s="9"/>
    </row>
    <row r="360" spans="1:9" ht="14" x14ac:dyDescent="0.3">
      <c r="A360" s="3">
        <f>IF(B359=1, MAX(A$7:A359)+1, A359)</f>
        <v>9</v>
      </c>
      <c r="B360" s="3">
        <v>4</v>
      </c>
      <c r="C360" s="11" t="s">
        <v>789</v>
      </c>
      <c r="D360" s="3">
        <v>0</v>
      </c>
      <c r="E360" s="3">
        <v>255</v>
      </c>
      <c r="F360" s="3" t="s">
        <v>52</v>
      </c>
      <c r="G360" s="3">
        <v>12</v>
      </c>
      <c r="H360" s="3">
        <v>12</v>
      </c>
      <c r="I360" s="9"/>
    </row>
    <row r="361" spans="1:9" ht="14" x14ac:dyDescent="0.3">
      <c r="A361" s="3">
        <f>IF(B360=1, MAX(A$7:A360)+1, A360)</f>
        <v>9</v>
      </c>
      <c r="B361" s="3">
        <v>5</v>
      </c>
      <c r="C361" s="11" t="s">
        <v>790</v>
      </c>
      <c r="D361" s="3">
        <v>1.1000000000000001</v>
      </c>
      <c r="E361" s="3">
        <v>1.1000000000000001</v>
      </c>
      <c r="F361" s="3" t="s">
        <v>8</v>
      </c>
      <c r="G361" s="3">
        <v>12</v>
      </c>
      <c r="H361" s="3">
        <v>12</v>
      </c>
      <c r="I361" s="9"/>
    </row>
    <row r="362" spans="1:9" ht="14" x14ac:dyDescent="0.3">
      <c r="A362" s="3">
        <f>IF(B361=1, MAX(A$7:A361)+1, A361)</f>
        <v>9</v>
      </c>
      <c r="B362" s="3">
        <v>1</v>
      </c>
      <c r="C362" s="11" t="s">
        <v>56</v>
      </c>
      <c r="D362" s="3">
        <v>0.9</v>
      </c>
      <c r="E362" s="3">
        <v>3</v>
      </c>
      <c r="F362" s="3" t="s">
        <v>18</v>
      </c>
      <c r="G362" s="3">
        <v>12</v>
      </c>
      <c r="H362" s="3">
        <v>12</v>
      </c>
      <c r="I362" s="9"/>
    </row>
    <row r="363" spans="1:9" ht="14" x14ac:dyDescent="0.3">
      <c r="A363" s="3">
        <f>IF(B362=1, MAX(A$7:A362)+1, A362)</f>
        <v>10</v>
      </c>
      <c r="B363" s="3">
        <v>2</v>
      </c>
      <c r="C363" s="11" t="s">
        <v>57</v>
      </c>
      <c r="D363" s="3">
        <v>0</v>
      </c>
      <c r="E363" s="3">
        <v>255</v>
      </c>
      <c r="F363" s="3" t="s">
        <v>52</v>
      </c>
      <c r="G363" s="3">
        <v>12</v>
      </c>
      <c r="H363" s="3">
        <v>12</v>
      </c>
      <c r="I363" s="9"/>
    </row>
    <row r="364" spans="1:9" ht="14" x14ac:dyDescent="0.3">
      <c r="A364" s="3">
        <f>IF(B363=1, MAX(A$7:A363)+1, A363)</f>
        <v>10</v>
      </c>
      <c r="B364" s="3">
        <v>3</v>
      </c>
      <c r="C364" s="11" t="s">
        <v>58</v>
      </c>
      <c r="D364" s="3">
        <v>1.5</v>
      </c>
      <c r="E364" s="3">
        <v>1.7</v>
      </c>
      <c r="F364" s="3" t="s">
        <v>18</v>
      </c>
      <c r="G364" s="3">
        <v>12</v>
      </c>
      <c r="H364" s="3">
        <v>12</v>
      </c>
      <c r="I364" s="9"/>
    </row>
    <row r="365" spans="1:9" ht="14" x14ac:dyDescent="0.3">
      <c r="A365" s="3">
        <f>IF(B364=1, MAX(A$7:A364)+1, A364)</f>
        <v>10</v>
      </c>
      <c r="B365" s="3">
        <v>4</v>
      </c>
      <c r="C365" s="11" t="s">
        <v>59</v>
      </c>
      <c r="D365" s="3">
        <v>0</v>
      </c>
      <c r="E365" s="3">
        <v>255</v>
      </c>
      <c r="F365" s="3" t="s">
        <v>52</v>
      </c>
      <c r="G365" s="3">
        <v>12</v>
      </c>
      <c r="H365" s="3">
        <v>12</v>
      </c>
      <c r="I365" s="9"/>
    </row>
    <row r="366" spans="1:9" ht="14" x14ac:dyDescent="0.3">
      <c r="A366" s="3">
        <f>IF(B365=1, MAX(A$7:A365)+1, A365)</f>
        <v>10</v>
      </c>
      <c r="B366" s="3">
        <v>5</v>
      </c>
      <c r="C366" s="11" t="s">
        <v>60</v>
      </c>
      <c r="D366" s="3">
        <v>1.6</v>
      </c>
      <c r="E366" s="3">
        <v>1.6</v>
      </c>
      <c r="F366" s="3" t="s">
        <v>18</v>
      </c>
      <c r="G366" s="3">
        <v>12</v>
      </c>
      <c r="H366" s="3">
        <v>12</v>
      </c>
      <c r="I366" s="9"/>
    </row>
    <row r="367" spans="1:9" ht="14" x14ac:dyDescent="0.3">
      <c r="A367" s="3">
        <f>IF(B366=1, MAX(A$7:A366)+1, A366)</f>
        <v>10</v>
      </c>
      <c r="B367" s="3">
        <v>1</v>
      </c>
      <c r="C367" s="11" t="s">
        <v>791</v>
      </c>
      <c r="D367" s="3">
        <v>8</v>
      </c>
      <c r="E367" s="3">
        <v>45</v>
      </c>
      <c r="F367" s="3" t="s">
        <v>792</v>
      </c>
      <c r="G367" s="3">
        <v>12</v>
      </c>
      <c r="H367" s="3">
        <v>12</v>
      </c>
      <c r="I367" s="9"/>
    </row>
    <row r="368" spans="1:9" ht="14" x14ac:dyDescent="0.3">
      <c r="A368" s="3">
        <f>IF(B367=1, MAX(A$7:A367)+1, A367)</f>
        <v>11</v>
      </c>
      <c r="B368" s="3">
        <v>2</v>
      </c>
      <c r="C368" s="11" t="s">
        <v>793</v>
      </c>
      <c r="D368" s="3">
        <v>0</v>
      </c>
      <c r="E368" s="3">
        <v>255</v>
      </c>
      <c r="F368" s="3" t="s">
        <v>52</v>
      </c>
      <c r="G368" s="3">
        <v>12</v>
      </c>
      <c r="H368" s="3">
        <v>12</v>
      </c>
      <c r="I368" s="9"/>
    </row>
    <row r="369" spans="1:9" ht="14" x14ac:dyDescent="0.3">
      <c r="A369" s="3">
        <f>IF(B368=1, MAX(A$7:A368)+1, A368)</f>
        <v>11</v>
      </c>
      <c r="B369" s="3">
        <v>3</v>
      </c>
      <c r="C369" s="11" t="s">
        <v>794</v>
      </c>
      <c r="D369" s="3">
        <v>14</v>
      </c>
      <c r="E369" s="3">
        <v>18</v>
      </c>
      <c r="F369" s="3" t="s">
        <v>792</v>
      </c>
      <c r="G369" s="3">
        <v>12</v>
      </c>
      <c r="H369" s="3">
        <v>12</v>
      </c>
      <c r="I369" s="9"/>
    </row>
    <row r="370" spans="1:9" ht="14" x14ac:dyDescent="0.3">
      <c r="A370" s="3">
        <f>IF(B369=1, MAX(A$7:A369)+1, A369)</f>
        <v>11</v>
      </c>
      <c r="B370" s="3">
        <v>4</v>
      </c>
      <c r="C370" s="11" t="s">
        <v>795</v>
      </c>
      <c r="D370" s="3">
        <v>0</v>
      </c>
      <c r="E370" s="3">
        <v>255</v>
      </c>
      <c r="F370" s="3" t="s">
        <v>52</v>
      </c>
      <c r="G370" s="3">
        <v>12</v>
      </c>
      <c r="H370" s="3">
        <v>12</v>
      </c>
      <c r="I370" s="9"/>
    </row>
    <row r="371" spans="1:9" ht="14" x14ac:dyDescent="0.3">
      <c r="A371" s="3">
        <f>IF(B370=1, MAX(A$7:A370)+1, A370)</f>
        <v>11</v>
      </c>
      <c r="B371" s="3">
        <v>5</v>
      </c>
      <c r="C371" s="11" t="s">
        <v>796</v>
      </c>
      <c r="D371" s="3">
        <v>15.625</v>
      </c>
      <c r="E371" s="3">
        <v>15.625</v>
      </c>
      <c r="F371" s="3" t="s">
        <v>792</v>
      </c>
      <c r="G371" s="3">
        <v>12</v>
      </c>
      <c r="H371" s="3">
        <v>12</v>
      </c>
      <c r="I371" s="9"/>
    </row>
    <row r="372" spans="1:9" ht="14" x14ac:dyDescent="0.3">
      <c r="A372" s="3">
        <f>IF(B371=1, MAX(A$7:A371)+1, A371)</f>
        <v>11</v>
      </c>
      <c r="B372" s="3">
        <v>1</v>
      </c>
      <c r="C372" s="11" t="s">
        <v>797</v>
      </c>
      <c r="D372" s="3">
        <v>2.8</v>
      </c>
      <c r="E372" s="3">
        <v>3.3</v>
      </c>
      <c r="F372" s="3" t="s">
        <v>8</v>
      </c>
      <c r="G372" s="3">
        <v>12</v>
      </c>
      <c r="H372" s="3">
        <v>12</v>
      </c>
      <c r="I372" s="9"/>
    </row>
    <row r="373" spans="1:9" ht="14" x14ac:dyDescent="0.3">
      <c r="A373" s="3">
        <f>IF(B372=1, MAX(A$7:A372)+1, A372)</f>
        <v>12</v>
      </c>
      <c r="B373" s="3">
        <v>2</v>
      </c>
      <c r="C373" s="11" t="s">
        <v>798</v>
      </c>
      <c r="D373" s="3">
        <v>0</v>
      </c>
      <c r="E373" s="3">
        <v>4</v>
      </c>
      <c r="F373" s="3" t="s">
        <v>52</v>
      </c>
      <c r="G373" s="3">
        <v>12</v>
      </c>
      <c r="H373" s="3">
        <v>12</v>
      </c>
      <c r="I373" s="9"/>
    </row>
    <row r="374" spans="1:9" ht="14" x14ac:dyDescent="0.3">
      <c r="A374" s="3">
        <f>IF(B373=1, MAX(A$7:A373)+1, A373)</f>
        <v>12</v>
      </c>
      <c r="B374" s="3">
        <v>3</v>
      </c>
      <c r="C374" s="11" t="s">
        <v>799</v>
      </c>
      <c r="D374" s="3">
        <v>3.05</v>
      </c>
      <c r="E374" s="3">
        <v>3.2</v>
      </c>
      <c r="F374" s="3" t="s">
        <v>8</v>
      </c>
      <c r="G374" s="3">
        <v>12</v>
      </c>
      <c r="H374" s="3">
        <v>12</v>
      </c>
      <c r="I374" s="9"/>
    </row>
    <row r="375" spans="1:9" ht="14" x14ac:dyDescent="0.3">
      <c r="A375" s="3">
        <f>IF(B374=1, MAX(A$7:A374)+1, A374)</f>
        <v>12</v>
      </c>
      <c r="B375" s="3">
        <v>4</v>
      </c>
      <c r="C375" s="11" t="s">
        <v>800</v>
      </c>
      <c r="D375" s="3">
        <v>0</v>
      </c>
      <c r="E375" s="3">
        <v>4</v>
      </c>
      <c r="F375" s="3" t="s">
        <v>52</v>
      </c>
      <c r="G375" s="3">
        <v>12</v>
      </c>
      <c r="H375" s="3">
        <v>12</v>
      </c>
      <c r="I375" s="9"/>
    </row>
    <row r="376" spans="1:9" ht="14" x14ac:dyDescent="0.3">
      <c r="A376" s="3">
        <f>IF(B375=1, MAX(A$7:A375)+1, A375)</f>
        <v>12</v>
      </c>
      <c r="B376" s="3">
        <v>5</v>
      </c>
      <c r="C376" s="11" t="s">
        <v>801</v>
      </c>
      <c r="D376" s="3">
        <v>3.15</v>
      </c>
      <c r="E376" s="3">
        <v>3.15</v>
      </c>
      <c r="F376" s="3" t="s">
        <v>8</v>
      </c>
      <c r="G376" s="3">
        <v>12</v>
      </c>
      <c r="H376" s="3">
        <v>12</v>
      </c>
      <c r="I376" s="9"/>
    </row>
    <row r="377" spans="1:9" ht="14" x14ac:dyDescent="0.3">
      <c r="A377" s="3">
        <f>IF(B376=1, MAX(A$7:A376)+1, A376)</f>
        <v>12</v>
      </c>
      <c r="B377" s="3">
        <v>1</v>
      </c>
      <c r="C377" s="11" t="s">
        <v>802</v>
      </c>
      <c r="D377" s="3">
        <v>0.7</v>
      </c>
      <c r="E377" s="3">
        <v>1.5</v>
      </c>
      <c r="F377" s="3" t="s">
        <v>207</v>
      </c>
      <c r="G377" s="3">
        <v>13</v>
      </c>
      <c r="H377" s="3">
        <v>13</v>
      </c>
      <c r="I377" s="9"/>
    </row>
    <row r="378" spans="1:9" ht="14" x14ac:dyDescent="0.3">
      <c r="A378" s="3">
        <f>IF(B377=1, MAX(A$7:A377)+1, A377)</f>
        <v>13</v>
      </c>
      <c r="B378" s="3">
        <v>2</v>
      </c>
      <c r="C378" s="11" t="s">
        <v>803</v>
      </c>
      <c r="D378" s="3">
        <v>0</v>
      </c>
      <c r="E378" s="3">
        <v>16</v>
      </c>
      <c r="F378" s="3" t="s">
        <v>52</v>
      </c>
      <c r="G378" s="3">
        <v>13</v>
      </c>
      <c r="H378" s="3">
        <v>13</v>
      </c>
      <c r="I378" s="9"/>
    </row>
    <row r="379" spans="1:9" ht="14" x14ac:dyDescent="0.3">
      <c r="A379" s="3">
        <f>IF(B378=1, MAX(A$7:A378)+1, A378)</f>
        <v>13</v>
      </c>
      <c r="B379" s="3">
        <v>3</v>
      </c>
      <c r="C379" s="11" t="s">
        <v>804</v>
      </c>
      <c r="D379" s="3">
        <v>1.05</v>
      </c>
      <c r="E379" s="3">
        <v>1.23</v>
      </c>
      <c r="F379" s="3" t="s">
        <v>207</v>
      </c>
      <c r="G379" s="3">
        <v>13</v>
      </c>
      <c r="H379" s="3">
        <v>13</v>
      </c>
      <c r="I379" s="9"/>
    </row>
    <row r="380" spans="1:9" ht="14" x14ac:dyDescent="0.3">
      <c r="A380" s="3">
        <f>IF(B379=1, MAX(A$7:A379)+1, A379)</f>
        <v>13</v>
      </c>
      <c r="B380" s="3">
        <v>4</v>
      </c>
      <c r="C380" s="11" t="s">
        <v>805</v>
      </c>
      <c r="D380" s="3">
        <v>0</v>
      </c>
      <c r="E380" s="3">
        <v>16</v>
      </c>
      <c r="F380" s="3" t="s">
        <v>52</v>
      </c>
      <c r="G380" s="3">
        <v>13</v>
      </c>
      <c r="H380" s="3">
        <v>13</v>
      </c>
      <c r="I380" s="9"/>
    </row>
    <row r="381" spans="1:9" ht="14" x14ac:dyDescent="0.3">
      <c r="A381" s="3">
        <f>IF(B380=1, MAX(A$7:A380)+1, A380)</f>
        <v>13</v>
      </c>
      <c r="B381" s="3">
        <v>5</v>
      </c>
      <c r="C381" s="11" t="s">
        <v>806</v>
      </c>
      <c r="D381" s="3">
        <v>1.1299999999999999</v>
      </c>
      <c r="E381" s="3">
        <v>1.1299999999999999</v>
      </c>
      <c r="F381" s="3" t="s">
        <v>207</v>
      </c>
      <c r="G381" s="3">
        <v>13</v>
      </c>
      <c r="H381" s="3">
        <v>13</v>
      </c>
      <c r="I381" s="9"/>
    </row>
    <row r="382" spans="1:9" ht="14" x14ac:dyDescent="0.3">
      <c r="A382" s="3">
        <f>IF(B381=1, MAX(A$7:A381)+1, A381)</f>
        <v>13</v>
      </c>
      <c r="B382" s="3">
        <v>1</v>
      </c>
      <c r="C382" s="11" t="s">
        <v>807</v>
      </c>
      <c r="D382" s="3">
        <v>0.5</v>
      </c>
      <c r="E382" s="3">
        <v>1.9</v>
      </c>
      <c r="F382" s="3" t="s">
        <v>207</v>
      </c>
      <c r="G382" s="3">
        <v>13</v>
      </c>
      <c r="H382" s="3">
        <v>13</v>
      </c>
      <c r="I382" s="9"/>
    </row>
    <row r="383" spans="1:9" ht="14" x14ac:dyDescent="0.3">
      <c r="A383" s="3">
        <f>IF(B382=1, MAX(A$7:A382)+1, A382)</f>
        <v>14</v>
      </c>
      <c r="B383" s="3">
        <v>2</v>
      </c>
      <c r="C383" s="11" t="s">
        <v>808</v>
      </c>
      <c r="D383" s="3">
        <v>0</v>
      </c>
      <c r="E383" s="3">
        <v>32</v>
      </c>
      <c r="F383" s="3" t="s">
        <v>52</v>
      </c>
      <c r="G383" s="3">
        <v>13</v>
      </c>
      <c r="H383" s="3">
        <v>13</v>
      </c>
      <c r="I383" s="9"/>
    </row>
    <row r="384" spans="1:9" ht="14" x14ac:dyDescent="0.3">
      <c r="A384" s="3">
        <f>IF(B383=1, MAX(A$7:A383)+1, A383)</f>
        <v>14</v>
      </c>
      <c r="B384" s="3">
        <v>3</v>
      </c>
      <c r="C384" s="11" t="s">
        <v>809</v>
      </c>
      <c r="D384" s="3">
        <v>1.1499999999999999</v>
      </c>
      <c r="E384" s="3">
        <v>1.35</v>
      </c>
      <c r="F384" s="3" t="s">
        <v>207</v>
      </c>
      <c r="G384" s="3">
        <v>13</v>
      </c>
      <c r="H384" s="3">
        <v>13</v>
      </c>
      <c r="I384" s="9"/>
    </row>
    <row r="385" spans="1:9" ht="14" x14ac:dyDescent="0.3">
      <c r="A385" s="3">
        <f>IF(B384=1, MAX(A$7:A384)+1, A384)</f>
        <v>14</v>
      </c>
      <c r="B385" s="3">
        <v>4</v>
      </c>
      <c r="C385" s="11" t="s">
        <v>810</v>
      </c>
      <c r="D385" s="3">
        <v>0</v>
      </c>
      <c r="E385" s="3">
        <v>32</v>
      </c>
      <c r="F385" s="3" t="s">
        <v>52</v>
      </c>
      <c r="G385" s="3">
        <v>13</v>
      </c>
      <c r="H385" s="3">
        <v>13</v>
      </c>
      <c r="I385" s="9"/>
    </row>
    <row r="386" spans="1:9" ht="14" x14ac:dyDescent="0.3">
      <c r="A386" s="3">
        <f>IF(B385=1, MAX(A$7:A385)+1, A385)</f>
        <v>14</v>
      </c>
      <c r="B386" s="3">
        <v>5</v>
      </c>
      <c r="C386" s="11" t="s">
        <v>811</v>
      </c>
      <c r="D386" s="3">
        <v>1.25</v>
      </c>
      <c r="E386" s="3">
        <v>1.25</v>
      </c>
      <c r="F386" s="3" t="s">
        <v>207</v>
      </c>
      <c r="G386" s="3">
        <v>13</v>
      </c>
      <c r="H386" s="3">
        <v>13</v>
      </c>
      <c r="I386" s="9"/>
    </row>
    <row r="387" spans="1:9" ht="14" x14ac:dyDescent="0.3">
      <c r="A387" s="3">
        <f>IF(B386=1, MAX(A$7:A386)+1, A386)</f>
        <v>14</v>
      </c>
      <c r="B387" s="3">
        <v>1</v>
      </c>
      <c r="C387" s="11" t="s">
        <v>812</v>
      </c>
      <c r="D387" s="3">
        <v>0.7</v>
      </c>
      <c r="E387" s="3">
        <v>1.5</v>
      </c>
      <c r="F387" s="3" t="s">
        <v>207</v>
      </c>
      <c r="G387" s="3">
        <v>13</v>
      </c>
      <c r="H387" s="3">
        <v>13</v>
      </c>
      <c r="I387" s="9"/>
    </row>
    <row r="388" spans="1:9" ht="14" x14ac:dyDescent="0.3">
      <c r="A388" s="3">
        <f>IF(B387=1, MAX(A$7:A387)+1, A387)</f>
        <v>15</v>
      </c>
      <c r="B388" s="3">
        <v>2</v>
      </c>
      <c r="C388" s="11" t="s">
        <v>813</v>
      </c>
      <c r="D388" s="3">
        <v>1</v>
      </c>
      <c r="E388" s="3">
        <v>1</v>
      </c>
      <c r="F388" s="3" t="s">
        <v>52</v>
      </c>
      <c r="G388" s="3">
        <v>13</v>
      </c>
      <c r="H388" s="3">
        <v>13</v>
      </c>
      <c r="I388" s="9"/>
    </row>
    <row r="389" spans="1:9" ht="14" x14ac:dyDescent="0.3">
      <c r="A389" s="3">
        <f>IF(B388=1, MAX(A$7:A388)+1, A388)</f>
        <v>15</v>
      </c>
      <c r="B389" s="3">
        <v>3</v>
      </c>
      <c r="C389" s="11" t="s">
        <v>814</v>
      </c>
      <c r="D389" s="3">
        <v>1.05</v>
      </c>
      <c r="E389" s="3">
        <v>1.23</v>
      </c>
      <c r="F389" s="3" t="s">
        <v>207</v>
      </c>
      <c r="G389" s="3">
        <v>13</v>
      </c>
      <c r="H389" s="3">
        <v>13</v>
      </c>
      <c r="I389" s="9"/>
    </row>
    <row r="390" spans="1:9" ht="14" x14ac:dyDescent="0.3">
      <c r="A390" s="3">
        <f>IF(B389=1, MAX(A$7:A389)+1, A389)</f>
        <v>15</v>
      </c>
      <c r="B390" s="3">
        <v>4</v>
      </c>
      <c r="C390" s="11" t="s">
        <v>815</v>
      </c>
      <c r="D390" s="3">
        <v>0</v>
      </c>
      <c r="E390" s="3">
        <v>16</v>
      </c>
      <c r="F390" s="3" t="s">
        <v>52</v>
      </c>
      <c r="G390" s="3">
        <v>13</v>
      </c>
      <c r="H390" s="3">
        <v>13</v>
      </c>
      <c r="I390" s="9"/>
    </row>
    <row r="391" spans="1:9" ht="14" x14ac:dyDescent="0.3">
      <c r="A391" s="3">
        <f>IF(B390=1, MAX(A$7:A390)+1, A390)</f>
        <v>15</v>
      </c>
      <c r="B391" s="3">
        <v>5</v>
      </c>
      <c r="C391" s="11" t="s">
        <v>816</v>
      </c>
      <c r="D391" s="3">
        <v>1.1299999999999999</v>
      </c>
      <c r="E391" s="3">
        <v>1.1299999999999999</v>
      </c>
      <c r="F391" s="3" t="s">
        <v>207</v>
      </c>
      <c r="G391" s="3">
        <v>13</v>
      </c>
      <c r="H391" s="3">
        <v>13</v>
      </c>
      <c r="I391" s="9"/>
    </row>
    <row r="392" spans="1:9" ht="14" x14ac:dyDescent="0.3">
      <c r="A392" s="3">
        <f>IF(B391=1, MAX(A$7:A391)+1, A391)</f>
        <v>15</v>
      </c>
      <c r="B392" s="3">
        <v>1</v>
      </c>
      <c r="C392" s="11" t="s">
        <v>817</v>
      </c>
      <c r="D392" s="3">
        <v>0.5</v>
      </c>
      <c r="E392" s="3">
        <v>1.9</v>
      </c>
      <c r="F392" s="3" t="s">
        <v>207</v>
      </c>
      <c r="G392" s="3">
        <v>13</v>
      </c>
      <c r="H392" s="3">
        <v>13</v>
      </c>
      <c r="I392" s="9"/>
    </row>
    <row r="393" spans="1:9" ht="14" x14ac:dyDescent="0.3">
      <c r="A393" s="3">
        <f>IF(B392=1, MAX(A$7:A392)+1, A392)</f>
        <v>16</v>
      </c>
      <c r="B393" s="3">
        <v>2</v>
      </c>
      <c r="C393" s="11" t="s">
        <v>818</v>
      </c>
      <c r="D393" s="3">
        <v>0</v>
      </c>
      <c r="E393" s="3">
        <v>32</v>
      </c>
      <c r="F393" s="3" t="s">
        <v>52</v>
      </c>
      <c r="G393" s="3">
        <v>13</v>
      </c>
      <c r="H393" s="3">
        <v>13</v>
      </c>
      <c r="I393" s="9"/>
    </row>
    <row r="394" spans="1:9" ht="14" x14ac:dyDescent="0.3">
      <c r="A394" s="3">
        <f>IF(B393=1, MAX(A$7:A393)+1, A393)</f>
        <v>16</v>
      </c>
      <c r="B394" s="3">
        <v>3</v>
      </c>
      <c r="C394" s="11" t="s">
        <v>819</v>
      </c>
      <c r="D394" s="3">
        <v>1.1499999999999999</v>
      </c>
      <c r="E394" s="3">
        <v>1.35</v>
      </c>
      <c r="F394" s="3" t="s">
        <v>207</v>
      </c>
      <c r="G394" s="3">
        <v>13</v>
      </c>
      <c r="H394" s="3">
        <v>13</v>
      </c>
      <c r="I394" s="9"/>
    </row>
    <row r="395" spans="1:9" ht="14" x14ac:dyDescent="0.3">
      <c r="A395" s="3">
        <f>IF(B394=1, MAX(A$7:A394)+1, A394)</f>
        <v>16</v>
      </c>
      <c r="B395" s="3">
        <v>4</v>
      </c>
      <c r="C395" s="11" t="s">
        <v>820</v>
      </c>
      <c r="D395" s="3">
        <v>0</v>
      </c>
      <c r="E395" s="3">
        <v>32</v>
      </c>
      <c r="F395" s="3" t="s">
        <v>52</v>
      </c>
      <c r="G395" s="3">
        <v>13</v>
      </c>
      <c r="H395" s="3">
        <v>13</v>
      </c>
      <c r="I395" s="9"/>
    </row>
    <row r="396" spans="1:9" ht="14" x14ac:dyDescent="0.3">
      <c r="A396" s="3">
        <f>IF(B395=1, MAX(A$7:A395)+1, A395)</f>
        <v>16</v>
      </c>
      <c r="B396" s="3">
        <v>5</v>
      </c>
      <c r="C396" s="11" t="s">
        <v>821</v>
      </c>
      <c r="D396" s="3">
        <v>1.25</v>
      </c>
      <c r="E396" s="3">
        <v>1.25</v>
      </c>
      <c r="F396" s="3" t="s">
        <v>207</v>
      </c>
      <c r="G396" s="3">
        <v>13</v>
      </c>
      <c r="H396" s="3">
        <v>13</v>
      </c>
      <c r="I396" s="9"/>
    </row>
    <row r="397" spans="1:9" ht="14" x14ac:dyDescent="0.3">
      <c r="A397" s="3">
        <f>IF(B396=1, MAX(A$7:A396)+1, A396)</f>
        <v>16</v>
      </c>
      <c r="B397" s="3">
        <v>1</v>
      </c>
      <c r="C397" s="11" t="s">
        <v>822</v>
      </c>
      <c r="D397" s="3">
        <v>0.2</v>
      </c>
      <c r="E397" s="3">
        <v>0.8</v>
      </c>
      <c r="F397" s="3" t="s">
        <v>8</v>
      </c>
      <c r="G397" s="3">
        <v>13</v>
      </c>
      <c r="H397" s="3">
        <v>13</v>
      </c>
      <c r="I397" s="9"/>
    </row>
    <row r="398" spans="1:9" ht="14" x14ac:dyDescent="0.3">
      <c r="A398" s="3">
        <f>IF(B397=1, MAX(A$7:A397)+1, A397)</f>
        <v>17</v>
      </c>
      <c r="B398" s="3">
        <v>2</v>
      </c>
      <c r="C398" s="11" t="s">
        <v>823</v>
      </c>
      <c r="D398" s="3">
        <v>0</v>
      </c>
      <c r="E398" s="3">
        <v>16</v>
      </c>
      <c r="F398" s="3" t="s">
        <v>52</v>
      </c>
      <c r="G398" s="3">
        <v>13</v>
      </c>
      <c r="H398" s="3">
        <v>13</v>
      </c>
      <c r="I398" s="9"/>
    </row>
    <row r="399" spans="1:9" ht="14" x14ac:dyDescent="0.3">
      <c r="A399" s="3">
        <f>IF(B398=1, MAX(A$7:A398)+1, A398)</f>
        <v>17</v>
      </c>
      <c r="B399" s="3">
        <v>3</v>
      </c>
      <c r="C399" s="11" t="s">
        <v>824</v>
      </c>
      <c r="D399" s="3">
        <v>0.42749999999999999</v>
      </c>
      <c r="E399" s="3">
        <v>0.47249999999999998</v>
      </c>
      <c r="F399" s="3" t="s">
        <v>8</v>
      </c>
      <c r="G399" s="3">
        <v>13</v>
      </c>
      <c r="H399" s="3">
        <v>13</v>
      </c>
      <c r="I399" s="9"/>
    </row>
    <row r="400" spans="1:9" ht="14" x14ac:dyDescent="0.3">
      <c r="A400" s="3">
        <f>IF(B399=1, MAX(A$7:A399)+1, A399)</f>
        <v>17</v>
      </c>
      <c r="B400" s="3">
        <v>4</v>
      </c>
      <c r="C400" s="11" t="s">
        <v>825</v>
      </c>
      <c r="D400" s="3">
        <v>0</v>
      </c>
      <c r="E400" s="3">
        <v>16</v>
      </c>
      <c r="F400" s="3" t="s">
        <v>52</v>
      </c>
      <c r="G400" s="3">
        <v>13</v>
      </c>
      <c r="H400" s="3">
        <v>13</v>
      </c>
      <c r="I400" s="9"/>
    </row>
    <row r="401" spans="1:9" ht="14" x14ac:dyDescent="0.3">
      <c r="A401" s="3">
        <f>IF(B400=1, MAX(A$7:A400)+1, A400)</f>
        <v>17</v>
      </c>
      <c r="B401" s="3">
        <v>5</v>
      </c>
      <c r="C401" s="11" t="s">
        <v>826</v>
      </c>
      <c r="D401" s="3">
        <v>0.45</v>
      </c>
      <c r="E401" s="3">
        <v>0.45</v>
      </c>
      <c r="F401" s="3" t="s">
        <v>8</v>
      </c>
      <c r="G401" s="3">
        <v>13</v>
      </c>
      <c r="H401" s="3">
        <v>13</v>
      </c>
      <c r="I401" s="9"/>
    </row>
    <row r="402" spans="1:9" ht="14" x14ac:dyDescent="0.3">
      <c r="A402" s="3">
        <f>IF(B401=1, MAX(A$7:A401)+1, A401)</f>
        <v>17</v>
      </c>
      <c r="B402" s="3">
        <v>1</v>
      </c>
      <c r="C402" s="11" t="s">
        <v>827</v>
      </c>
      <c r="D402" s="3">
        <v>0.2</v>
      </c>
      <c r="E402" s="3">
        <v>0.8</v>
      </c>
      <c r="F402" s="3" t="s">
        <v>8</v>
      </c>
      <c r="G402" s="3">
        <v>13</v>
      </c>
      <c r="H402" s="3">
        <v>13</v>
      </c>
      <c r="I402" s="9"/>
    </row>
    <row r="403" spans="1:9" ht="14" x14ac:dyDescent="0.3">
      <c r="A403" s="3">
        <f>IF(B402=1, MAX(A$7:A402)+1, A402)</f>
        <v>18</v>
      </c>
      <c r="B403" s="3">
        <v>2</v>
      </c>
      <c r="C403" s="11" t="s">
        <v>828</v>
      </c>
      <c r="D403" s="3">
        <v>0</v>
      </c>
      <c r="E403" s="3">
        <v>16</v>
      </c>
      <c r="F403" s="3" t="s">
        <v>52</v>
      </c>
      <c r="G403" s="3">
        <v>13</v>
      </c>
      <c r="H403" s="3">
        <v>13</v>
      </c>
      <c r="I403" s="9"/>
    </row>
    <row r="404" spans="1:9" ht="14" x14ac:dyDescent="0.3">
      <c r="A404" s="3">
        <f>IF(B403=1, MAX(A$7:A403)+1, A403)</f>
        <v>18</v>
      </c>
      <c r="B404" s="3">
        <v>3</v>
      </c>
      <c r="C404" s="11" t="s">
        <v>829</v>
      </c>
      <c r="D404" s="3">
        <v>0.42749999999999999</v>
      </c>
      <c r="E404" s="3">
        <v>0.47249999999999998</v>
      </c>
      <c r="F404" s="3" t="s">
        <v>8</v>
      </c>
      <c r="G404" s="3">
        <v>13</v>
      </c>
      <c r="H404" s="3">
        <v>13</v>
      </c>
      <c r="I404" s="9"/>
    </row>
    <row r="405" spans="1:9" ht="14" x14ac:dyDescent="0.3">
      <c r="A405" s="3">
        <f>IF(B404=1, MAX(A$7:A404)+1, A404)</f>
        <v>18</v>
      </c>
      <c r="B405" s="3">
        <v>4</v>
      </c>
      <c r="C405" s="11" t="s">
        <v>830</v>
      </c>
      <c r="D405" s="3">
        <v>0</v>
      </c>
      <c r="E405" s="3">
        <v>16</v>
      </c>
      <c r="F405" s="3" t="s">
        <v>52</v>
      </c>
      <c r="G405" s="3">
        <v>13</v>
      </c>
      <c r="H405" s="3">
        <v>13</v>
      </c>
      <c r="I405" s="9"/>
    </row>
    <row r="406" spans="1:9" ht="14" x14ac:dyDescent="0.3">
      <c r="A406" s="3">
        <f>IF(B405=1, MAX(A$7:A405)+1, A405)</f>
        <v>18</v>
      </c>
      <c r="B406" s="3">
        <v>5</v>
      </c>
      <c r="C406" s="11" t="s">
        <v>831</v>
      </c>
      <c r="D406" s="3">
        <v>0.45</v>
      </c>
      <c r="E406" s="3">
        <v>0.45</v>
      </c>
      <c r="F406" s="3" t="s">
        <v>8</v>
      </c>
      <c r="G406" s="3">
        <v>13</v>
      </c>
      <c r="H406" s="3">
        <v>13</v>
      </c>
      <c r="I406" s="9"/>
    </row>
    <row r="407" spans="1:9" ht="14" x14ac:dyDescent="0.3">
      <c r="A407" s="3">
        <f>IF(B406=1, MAX(A$7:A406)+1, A406)</f>
        <v>18</v>
      </c>
      <c r="B407" s="3">
        <v>1</v>
      </c>
      <c r="C407" s="11" t="s">
        <v>832</v>
      </c>
      <c r="D407" s="3">
        <v>300</v>
      </c>
      <c r="E407" s="3">
        <v>800</v>
      </c>
      <c r="F407" s="3" t="s">
        <v>17</v>
      </c>
      <c r="G407" s="3">
        <v>14</v>
      </c>
      <c r="H407" s="3">
        <v>14</v>
      </c>
      <c r="I407" s="9"/>
    </row>
    <row r="408" spans="1:9" ht="14" x14ac:dyDescent="0.3">
      <c r="A408" s="3">
        <f>IF(B407=1, MAX(A$7:A407)+1, A407)</f>
        <v>19</v>
      </c>
      <c r="B408" s="3">
        <v>2</v>
      </c>
      <c r="C408" s="11" t="s">
        <v>833</v>
      </c>
      <c r="D408" s="3">
        <v>0</v>
      </c>
      <c r="E408" s="3">
        <v>16</v>
      </c>
      <c r="F408" s="3" t="s">
        <v>52</v>
      </c>
      <c r="G408" s="3">
        <v>14</v>
      </c>
      <c r="H408" s="3">
        <v>14</v>
      </c>
      <c r="I408" s="9"/>
    </row>
    <row r="409" spans="1:9" ht="14" x14ac:dyDescent="0.3">
      <c r="A409" s="3">
        <f>IF(B408=1, MAX(A$7:A408)+1, A408)</f>
        <v>19</v>
      </c>
      <c r="B409" s="3">
        <v>3</v>
      </c>
      <c r="C409" s="11" t="s">
        <v>834</v>
      </c>
      <c r="D409" s="3">
        <v>410</v>
      </c>
      <c r="E409" s="3">
        <v>470</v>
      </c>
      <c r="F409" s="3" t="s">
        <v>17</v>
      </c>
      <c r="G409" s="3">
        <v>14</v>
      </c>
      <c r="H409" s="3">
        <v>14</v>
      </c>
      <c r="I409" s="9"/>
    </row>
    <row r="410" spans="1:9" ht="14" x14ac:dyDescent="0.3">
      <c r="A410" s="3">
        <f>IF(B409=1, MAX(A$7:A409)+1, A409)</f>
        <v>19</v>
      </c>
      <c r="B410" s="3">
        <v>4</v>
      </c>
      <c r="C410" s="11" t="s">
        <v>835</v>
      </c>
      <c r="D410" s="3">
        <v>0</v>
      </c>
      <c r="E410" s="3">
        <v>16</v>
      </c>
      <c r="F410" s="3" t="s">
        <v>52</v>
      </c>
      <c r="G410" s="3">
        <v>14</v>
      </c>
      <c r="H410" s="3">
        <v>14</v>
      </c>
      <c r="I410" s="9"/>
    </row>
    <row r="411" spans="1:9" ht="14" x14ac:dyDescent="0.3">
      <c r="A411" s="3">
        <f>IF(B410=1, MAX(A$7:A410)+1, A410)</f>
        <v>19</v>
      </c>
      <c r="B411" s="3">
        <v>5</v>
      </c>
      <c r="C411" s="11" t="s">
        <v>836</v>
      </c>
      <c r="D411" s="3">
        <v>440</v>
      </c>
      <c r="E411" s="3">
        <v>440</v>
      </c>
      <c r="F411" s="3" t="s">
        <v>17</v>
      </c>
      <c r="G411" s="3">
        <v>14</v>
      </c>
      <c r="H411" s="3">
        <v>14</v>
      </c>
      <c r="I411" s="9"/>
    </row>
    <row r="412" spans="1:9" ht="14" x14ac:dyDescent="0.3">
      <c r="A412" s="3">
        <f>IF(B411=1, MAX(A$7:A411)+1, A411)</f>
        <v>19</v>
      </c>
      <c r="B412" s="3">
        <v>1</v>
      </c>
      <c r="C412" s="11" t="s">
        <v>837</v>
      </c>
      <c r="D412" s="3">
        <v>300</v>
      </c>
      <c r="E412" s="3">
        <v>800</v>
      </c>
      <c r="F412" s="3" t="s">
        <v>17</v>
      </c>
      <c r="G412" s="3">
        <v>14</v>
      </c>
      <c r="H412" s="3">
        <v>14</v>
      </c>
      <c r="I412" s="9"/>
    </row>
    <row r="413" spans="1:9" ht="14" x14ac:dyDescent="0.3">
      <c r="A413" s="3">
        <f>IF(B412=1, MAX(A$7:A412)+1, A412)</f>
        <v>20</v>
      </c>
      <c r="B413" s="3">
        <v>2</v>
      </c>
      <c r="C413" s="11" t="s">
        <v>838</v>
      </c>
      <c r="D413" s="3">
        <v>0</v>
      </c>
      <c r="E413" s="3">
        <v>16</v>
      </c>
      <c r="F413" s="3" t="s">
        <v>52</v>
      </c>
      <c r="G413" s="3">
        <v>14</v>
      </c>
      <c r="H413" s="3">
        <v>14</v>
      </c>
      <c r="I413" s="9"/>
    </row>
    <row r="414" spans="1:9" ht="14" x14ac:dyDescent="0.3">
      <c r="A414" s="3">
        <f>IF(B413=1, MAX(A$7:A413)+1, A413)</f>
        <v>20</v>
      </c>
      <c r="B414" s="3">
        <v>3</v>
      </c>
      <c r="C414" s="11" t="s">
        <v>839</v>
      </c>
      <c r="D414" s="3">
        <v>410</v>
      </c>
      <c r="E414" s="3">
        <v>470</v>
      </c>
      <c r="F414" s="3" t="s">
        <v>17</v>
      </c>
      <c r="G414" s="3">
        <v>14</v>
      </c>
      <c r="H414" s="3">
        <v>14</v>
      </c>
      <c r="I414" s="9"/>
    </row>
    <row r="415" spans="1:9" ht="14" x14ac:dyDescent="0.3">
      <c r="A415" s="3">
        <f>IF(B414=1, MAX(A$7:A414)+1, A414)</f>
        <v>20</v>
      </c>
      <c r="B415" s="3">
        <v>4</v>
      </c>
      <c r="C415" s="11" t="s">
        <v>840</v>
      </c>
      <c r="D415" s="3">
        <v>0</v>
      </c>
      <c r="E415" s="3">
        <v>16</v>
      </c>
      <c r="F415" s="3" t="s">
        <v>52</v>
      </c>
      <c r="G415" s="3">
        <v>14</v>
      </c>
      <c r="H415" s="3">
        <v>14</v>
      </c>
      <c r="I415" s="9"/>
    </row>
    <row r="416" spans="1:9" ht="14" x14ac:dyDescent="0.3">
      <c r="A416" s="3">
        <f>IF(B415=1, MAX(A$7:A415)+1, A415)</f>
        <v>20</v>
      </c>
      <c r="B416" s="3">
        <v>5</v>
      </c>
      <c r="C416" s="11" t="s">
        <v>841</v>
      </c>
      <c r="D416" s="3">
        <v>440</v>
      </c>
      <c r="E416" s="3">
        <v>440</v>
      </c>
      <c r="F416" s="3" t="s">
        <v>17</v>
      </c>
      <c r="G416" s="3">
        <v>14</v>
      </c>
      <c r="H416" s="3">
        <v>14</v>
      </c>
      <c r="I416" s="9"/>
    </row>
    <row r="417" spans="1:9" ht="14" x14ac:dyDescent="0.3">
      <c r="A417" s="3">
        <f>IF(B416=1, MAX(A$7:A416)+1, A416)</f>
        <v>20</v>
      </c>
      <c r="B417" s="3">
        <v>1</v>
      </c>
      <c r="C417" s="11" t="s">
        <v>842</v>
      </c>
      <c r="D417" s="3">
        <v>300</v>
      </c>
      <c r="E417" s="3">
        <v>800</v>
      </c>
      <c r="F417" s="3" t="s">
        <v>17</v>
      </c>
      <c r="G417" s="3">
        <v>14</v>
      </c>
      <c r="H417" s="3">
        <v>14</v>
      </c>
      <c r="I417" s="9"/>
    </row>
    <row r="418" spans="1:9" ht="14" x14ac:dyDescent="0.3">
      <c r="A418" s="3">
        <f>IF(B417=1, MAX(A$7:A417)+1, A417)</f>
        <v>21</v>
      </c>
      <c r="B418" s="3">
        <v>2</v>
      </c>
      <c r="C418" s="11" t="s">
        <v>843</v>
      </c>
      <c r="D418" s="3">
        <v>0</v>
      </c>
      <c r="E418" s="3">
        <v>16</v>
      </c>
      <c r="F418" s="3" t="s">
        <v>52</v>
      </c>
      <c r="G418" s="3">
        <v>14</v>
      </c>
      <c r="H418" s="3">
        <v>14</v>
      </c>
      <c r="I418" s="9"/>
    </row>
    <row r="419" spans="1:9" ht="14" x14ac:dyDescent="0.3">
      <c r="A419" s="3">
        <f>IF(B418=1, MAX(A$7:A418)+1, A418)</f>
        <v>21</v>
      </c>
      <c r="B419" s="3">
        <v>3</v>
      </c>
      <c r="C419" s="11" t="s">
        <v>844</v>
      </c>
      <c r="D419" s="3">
        <v>410</v>
      </c>
      <c r="E419" s="3">
        <v>470</v>
      </c>
      <c r="F419" s="3" t="s">
        <v>17</v>
      </c>
      <c r="G419" s="3">
        <v>14</v>
      </c>
      <c r="H419" s="3">
        <v>14</v>
      </c>
      <c r="I419" s="9"/>
    </row>
    <row r="420" spans="1:9" ht="14" x14ac:dyDescent="0.3">
      <c r="A420" s="3">
        <f>IF(B419=1, MAX(A$7:A419)+1, A419)</f>
        <v>21</v>
      </c>
      <c r="B420" s="3">
        <v>4</v>
      </c>
      <c r="C420" s="11" t="s">
        <v>845</v>
      </c>
      <c r="D420" s="3">
        <v>0</v>
      </c>
      <c r="E420" s="3">
        <v>16</v>
      </c>
      <c r="F420" s="3" t="s">
        <v>52</v>
      </c>
      <c r="G420" s="3">
        <v>14</v>
      </c>
      <c r="H420" s="3">
        <v>14</v>
      </c>
      <c r="I420" s="9"/>
    </row>
    <row r="421" spans="1:9" ht="14" x14ac:dyDescent="0.3">
      <c r="A421" s="3">
        <f>IF(B420=1, MAX(A$7:A420)+1, A420)</f>
        <v>21</v>
      </c>
      <c r="B421" s="3">
        <v>5</v>
      </c>
      <c r="C421" s="11" t="s">
        <v>846</v>
      </c>
      <c r="D421" s="3">
        <v>440</v>
      </c>
      <c r="E421" s="3">
        <v>440</v>
      </c>
      <c r="F421" s="3" t="s">
        <v>17</v>
      </c>
      <c r="G421" s="3">
        <v>14</v>
      </c>
      <c r="H421" s="3">
        <v>14</v>
      </c>
      <c r="I421" s="9"/>
    </row>
    <row r="422" spans="1:9" ht="14" x14ac:dyDescent="0.3">
      <c r="A422" s="3">
        <f>IF(B421=1, MAX(A$7:A421)+1, A421)</f>
        <v>21</v>
      </c>
      <c r="B422" s="3">
        <v>1</v>
      </c>
      <c r="C422" s="11" t="s">
        <v>847</v>
      </c>
      <c r="D422" s="3">
        <v>300</v>
      </c>
      <c r="E422" s="3">
        <v>800</v>
      </c>
      <c r="F422" s="3" t="s">
        <v>17</v>
      </c>
      <c r="G422" s="3">
        <v>14</v>
      </c>
      <c r="H422" s="3">
        <v>14</v>
      </c>
      <c r="I422" s="9"/>
    </row>
    <row r="423" spans="1:9" ht="14" x14ac:dyDescent="0.3">
      <c r="A423" s="3">
        <f>IF(B422=1, MAX(A$7:A422)+1, A422)</f>
        <v>22</v>
      </c>
      <c r="B423" s="3">
        <v>2</v>
      </c>
      <c r="C423" s="11" t="s">
        <v>848</v>
      </c>
      <c r="D423" s="3">
        <v>0</v>
      </c>
      <c r="E423" s="3">
        <v>16</v>
      </c>
      <c r="F423" s="3" t="s">
        <v>52</v>
      </c>
      <c r="G423" s="3">
        <v>14</v>
      </c>
      <c r="H423" s="3">
        <v>14</v>
      </c>
      <c r="I423" s="9"/>
    </row>
    <row r="424" spans="1:9" ht="14" x14ac:dyDescent="0.3">
      <c r="A424" s="3">
        <f>IF(B423=1, MAX(A$7:A423)+1, A423)</f>
        <v>22</v>
      </c>
      <c r="B424" s="3">
        <v>3</v>
      </c>
      <c r="C424" s="11" t="s">
        <v>849</v>
      </c>
      <c r="D424" s="3">
        <v>410</v>
      </c>
      <c r="E424" s="3">
        <v>470</v>
      </c>
      <c r="F424" s="3" t="s">
        <v>17</v>
      </c>
      <c r="G424" s="3">
        <v>14</v>
      </c>
      <c r="H424" s="3">
        <v>14</v>
      </c>
      <c r="I424" s="9"/>
    </row>
    <row r="425" spans="1:9" ht="14" x14ac:dyDescent="0.3">
      <c r="A425" s="3">
        <f>IF(B424=1, MAX(A$7:A424)+1, A424)</f>
        <v>22</v>
      </c>
      <c r="B425" s="3">
        <v>4</v>
      </c>
      <c r="C425" s="11" t="s">
        <v>850</v>
      </c>
      <c r="D425" s="3">
        <v>0</v>
      </c>
      <c r="E425" s="3">
        <v>16</v>
      </c>
      <c r="F425" s="3" t="s">
        <v>52</v>
      </c>
      <c r="G425" s="3">
        <v>14</v>
      </c>
      <c r="H425" s="3">
        <v>14</v>
      </c>
      <c r="I425" s="9"/>
    </row>
    <row r="426" spans="1:9" ht="14" x14ac:dyDescent="0.3">
      <c r="A426" s="3">
        <f>IF(B425=1, MAX(A$7:A425)+1, A425)</f>
        <v>22</v>
      </c>
      <c r="B426" s="3">
        <v>5</v>
      </c>
      <c r="C426" s="11" t="s">
        <v>851</v>
      </c>
      <c r="D426" s="3">
        <v>440</v>
      </c>
      <c r="E426" s="3">
        <v>440</v>
      </c>
      <c r="F426" s="3" t="s">
        <v>17</v>
      </c>
      <c r="G426" s="3">
        <v>14</v>
      </c>
      <c r="H426" s="3">
        <v>14</v>
      </c>
      <c r="I426" s="9"/>
    </row>
    <row r="427" spans="1:9" ht="14" x14ac:dyDescent="0.3">
      <c r="A427" s="3">
        <f>IF(B426=1, MAX(A$7:A426)+1, A426)</f>
        <v>22</v>
      </c>
      <c r="B427" s="3">
        <v>1</v>
      </c>
      <c r="C427" s="11" t="s">
        <v>852</v>
      </c>
      <c r="D427" s="3">
        <v>0</v>
      </c>
      <c r="E427" s="3">
        <v>255</v>
      </c>
      <c r="F427" s="3" t="s">
        <v>52</v>
      </c>
      <c r="G427" s="3">
        <v>15</v>
      </c>
      <c r="H427" s="3">
        <v>15</v>
      </c>
      <c r="I427" s="9"/>
    </row>
    <row r="428" spans="1:9" ht="14" x14ac:dyDescent="0.3">
      <c r="A428" s="3">
        <f>IF(B427=1, MAX(A$7:A427)+1, A427)</f>
        <v>23</v>
      </c>
      <c r="B428" s="3">
        <v>2</v>
      </c>
      <c r="C428" s="11" t="s">
        <v>853</v>
      </c>
      <c r="D428" s="3">
        <v>-15</v>
      </c>
      <c r="E428" s="3">
        <v>50</v>
      </c>
      <c r="F428" s="3" t="s">
        <v>33</v>
      </c>
      <c r="G428" s="3">
        <v>15</v>
      </c>
      <c r="H428" s="3">
        <v>15</v>
      </c>
      <c r="I428" s="9"/>
    </row>
    <row r="429" spans="1:9" ht="14" x14ac:dyDescent="0.3">
      <c r="A429" s="3">
        <f>IF(B428=1, MAX(A$7:A428)+1, A428)</f>
        <v>23</v>
      </c>
      <c r="B429" s="3">
        <v>3</v>
      </c>
      <c r="C429" s="11" t="s">
        <v>854</v>
      </c>
      <c r="D429" s="3">
        <v>0</v>
      </c>
      <c r="E429" s="3">
        <v>255</v>
      </c>
      <c r="F429" s="3" t="s">
        <v>52</v>
      </c>
      <c r="G429" s="3">
        <v>15</v>
      </c>
      <c r="H429" s="3">
        <v>15</v>
      </c>
      <c r="I429" s="9"/>
    </row>
    <row r="430" spans="1:9" ht="14" x14ac:dyDescent="0.3">
      <c r="A430" s="3">
        <f>IF(B429=1, MAX(A$7:A429)+1, A429)</f>
        <v>23</v>
      </c>
      <c r="B430" s="3">
        <v>4</v>
      </c>
      <c r="C430" s="11" t="s">
        <v>1613</v>
      </c>
      <c r="D430" s="3">
        <v>9</v>
      </c>
      <c r="E430" s="3">
        <v>23</v>
      </c>
      <c r="F430" s="3" t="s">
        <v>33</v>
      </c>
      <c r="G430" s="3">
        <v>15</v>
      </c>
      <c r="H430" s="3">
        <v>15</v>
      </c>
      <c r="I430" s="9"/>
    </row>
    <row r="431" spans="1:9" ht="14" x14ac:dyDescent="0.3">
      <c r="A431" s="3">
        <f>IF(B430=1, MAX(A$7:A430)+1, A430)</f>
        <v>23</v>
      </c>
      <c r="B431" s="3">
        <v>5</v>
      </c>
      <c r="C431" s="11" t="s">
        <v>855</v>
      </c>
      <c r="D431" s="3">
        <v>9</v>
      </c>
      <c r="E431" s="3">
        <v>23</v>
      </c>
      <c r="F431" s="3" t="s">
        <v>33</v>
      </c>
      <c r="G431" s="3">
        <v>15</v>
      </c>
      <c r="H431" s="3">
        <v>15</v>
      </c>
      <c r="I431" s="9"/>
    </row>
    <row r="432" spans="1:9" ht="14" x14ac:dyDescent="0.3">
      <c r="A432" s="3">
        <f>IF(B431=1, MAX(A$7:A431)+1, A431)</f>
        <v>23</v>
      </c>
      <c r="B432" s="3">
        <v>6</v>
      </c>
      <c r="C432" s="11" t="s">
        <v>856</v>
      </c>
      <c r="D432" s="3">
        <v>30</v>
      </c>
      <c r="E432" s="3">
        <v>60</v>
      </c>
      <c r="F432" s="3" t="s">
        <v>33</v>
      </c>
      <c r="G432" s="3">
        <v>15</v>
      </c>
      <c r="H432" s="3">
        <v>15</v>
      </c>
      <c r="I432" s="9"/>
    </row>
    <row r="433" spans="1:9" ht="14" x14ac:dyDescent="0.3">
      <c r="A433" s="3">
        <f>IF(B432=1, MAX(A$7:A432)+1, A432)</f>
        <v>23</v>
      </c>
      <c r="B433" s="3">
        <v>7</v>
      </c>
      <c r="C433" s="11" t="s">
        <v>857</v>
      </c>
      <c r="D433" s="3">
        <v>30</v>
      </c>
      <c r="E433" s="3">
        <v>60</v>
      </c>
      <c r="F433" s="3" t="s">
        <v>33</v>
      </c>
      <c r="G433" s="3">
        <v>15</v>
      </c>
      <c r="H433" s="3">
        <v>15</v>
      </c>
      <c r="I433" s="9"/>
    </row>
    <row r="434" spans="1:9" ht="14" x14ac:dyDescent="0.3">
      <c r="A434" s="3">
        <f>IF(B433=1, MAX(A$7:A433)+1, A433)</f>
        <v>23</v>
      </c>
      <c r="B434" s="3">
        <v>1</v>
      </c>
      <c r="C434" s="11" t="s">
        <v>858</v>
      </c>
      <c r="D434" s="3">
        <v>0</v>
      </c>
      <c r="E434" s="3">
        <v>1</v>
      </c>
      <c r="F434" s="3" t="s">
        <v>52</v>
      </c>
      <c r="G434" s="3">
        <v>16</v>
      </c>
      <c r="H434" s="3">
        <v>16</v>
      </c>
      <c r="I434" s="9"/>
    </row>
    <row r="435" spans="1:9" ht="14" x14ac:dyDescent="0.3">
      <c r="A435" s="3">
        <f>IF(B434=1, MAX(A$7:A434)+1, A434)</f>
        <v>24</v>
      </c>
      <c r="B435" s="3">
        <v>2</v>
      </c>
      <c r="C435" s="11" t="s">
        <v>859</v>
      </c>
      <c r="D435" s="3">
        <v>0</v>
      </c>
      <c r="E435" s="3">
        <v>255</v>
      </c>
      <c r="F435" s="3" t="s">
        <v>52</v>
      </c>
      <c r="G435" s="3">
        <v>16</v>
      </c>
      <c r="H435" s="3">
        <v>16</v>
      </c>
      <c r="I435" s="9"/>
    </row>
    <row r="436" spans="1:9" ht="14" x14ac:dyDescent="0.3">
      <c r="A436" s="3">
        <f>IF(B435=1, MAX(A$7:A435)+1, A435)</f>
        <v>24</v>
      </c>
      <c r="B436" s="3">
        <v>3</v>
      </c>
      <c r="C436" s="11" t="s">
        <v>860</v>
      </c>
      <c r="D436" s="3">
        <v>0</v>
      </c>
      <c r="E436" s="3">
        <v>255</v>
      </c>
      <c r="F436" s="3" t="s">
        <v>52</v>
      </c>
      <c r="G436" s="3">
        <v>16</v>
      </c>
      <c r="H436" s="3">
        <v>16</v>
      </c>
      <c r="I436" s="9"/>
    </row>
    <row r="437" spans="1:9" ht="14" x14ac:dyDescent="0.3">
      <c r="A437" s="3">
        <f>IF(B436=1, MAX(A$7:A436)+1, A436)</f>
        <v>24</v>
      </c>
      <c r="B437" s="3">
        <v>4</v>
      </c>
      <c r="C437" s="11" t="s">
        <v>861</v>
      </c>
      <c r="D437" s="3">
        <v>0</v>
      </c>
      <c r="E437" s="3">
        <v>255</v>
      </c>
      <c r="F437" s="3" t="s">
        <v>52</v>
      </c>
      <c r="G437" s="3">
        <v>16</v>
      </c>
      <c r="H437" s="3">
        <v>16</v>
      </c>
      <c r="I437" s="9"/>
    </row>
    <row r="438" spans="1:9" ht="14" x14ac:dyDescent="0.3">
      <c r="A438" s="3">
        <f>IF(B437=1, MAX(A$7:A437)+1, A437)</f>
        <v>24</v>
      </c>
      <c r="B438" s="3">
        <v>5</v>
      </c>
      <c r="C438" s="11" t="s">
        <v>862</v>
      </c>
      <c r="D438" s="3">
        <v>0</v>
      </c>
      <c r="E438" s="3">
        <v>255</v>
      </c>
      <c r="F438" s="3" t="s">
        <v>52</v>
      </c>
      <c r="G438" s="3">
        <v>16</v>
      </c>
      <c r="H438" s="3">
        <v>16</v>
      </c>
      <c r="I438" s="9"/>
    </row>
    <row r="439" spans="1:9" ht="14" x14ac:dyDescent="0.3">
      <c r="A439" s="3">
        <f>IF(B438=1, MAX(A$7:A438)+1, A438)</f>
        <v>24</v>
      </c>
      <c r="B439" s="3">
        <v>6</v>
      </c>
      <c r="C439" s="11" t="s">
        <v>863</v>
      </c>
      <c r="D439" s="3">
        <v>0</v>
      </c>
      <c r="E439" s="3">
        <v>255</v>
      </c>
      <c r="F439" s="3" t="s">
        <v>52</v>
      </c>
      <c r="G439" s="3">
        <v>16</v>
      </c>
      <c r="H439" s="3">
        <v>16</v>
      </c>
      <c r="I439" s="9"/>
    </row>
    <row r="440" spans="1:9" ht="14" x14ac:dyDescent="0.3">
      <c r="A440" s="3">
        <f>IF(B439=1, MAX(A$7:A439)+1, A439)</f>
        <v>24</v>
      </c>
      <c r="B440" s="3">
        <v>7</v>
      </c>
      <c r="C440" s="11" t="s">
        <v>864</v>
      </c>
      <c r="D440" s="3">
        <v>0</v>
      </c>
      <c r="E440" s="3">
        <v>255</v>
      </c>
      <c r="F440" s="3" t="s">
        <v>52</v>
      </c>
      <c r="G440" s="3">
        <v>16</v>
      </c>
      <c r="H440" s="3">
        <v>16</v>
      </c>
      <c r="I440" s="9"/>
    </row>
    <row r="441" spans="1:9" ht="14" x14ac:dyDescent="0.3">
      <c r="A441" s="3">
        <f>IF(B440=1, MAX(A$7:A440)+1, A440)</f>
        <v>24</v>
      </c>
      <c r="B441" s="3">
        <v>8</v>
      </c>
      <c r="C441" s="11" t="s">
        <v>865</v>
      </c>
      <c r="D441" s="3">
        <v>0</v>
      </c>
      <c r="E441" s="3">
        <v>255</v>
      </c>
      <c r="F441" s="3" t="s">
        <v>52</v>
      </c>
      <c r="G441" s="3">
        <v>16</v>
      </c>
      <c r="H441" s="3">
        <v>16</v>
      </c>
      <c r="I441" s="9"/>
    </row>
    <row r="442" spans="1:9" ht="14" x14ac:dyDescent="0.3">
      <c r="A442" s="3">
        <f>IF(B441=1, MAX(A$7:A441)+1, A441)</f>
        <v>24</v>
      </c>
      <c r="B442" s="3">
        <v>9</v>
      </c>
      <c r="C442" s="11" t="s">
        <v>866</v>
      </c>
      <c r="D442" s="3">
        <v>0</v>
      </c>
      <c r="E442" s="3">
        <v>255</v>
      </c>
      <c r="F442" s="3" t="s">
        <v>52</v>
      </c>
      <c r="G442" s="3">
        <v>16</v>
      </c>
      <c r="H442" s="3">
        <v>16</v>
      </c>
      <c r="I442" s="9"/>
    </row>
    <row r="443" spans="1:9" ht="14" x14ac:dyDescent="0.3">
      <c r="A443" s="3">
        <f>IF(B442=1, MAX(A$7:A442)+1, A442)</f>
        <v>24</v>
      </c>
      <c r="B443" s="3">
        <v>10</v>
      </c>
      <c r="C443" s="11" t="s">
        <v>867</v>
      </c>
      <c r="D443" s="3">
        <v>0</v>
      </c>
      <c r="E443" s="3">
        <v>255</v>
      </c>
      <c r="F443" s="3" t="s">
        <v>52</v>
      </c>
      <c r="G443" s="3">
        <v>16</v>
      </c>
      <c r="H443" s="3">
        <v>16</v>
      </c>
      <c r="I443" s="9"/>
    </row>
    <row r="444" spans="1:9" ht="14" x14ac:dyDescent="0.3">
      <c r="A444" s="3">
        <f>IF(B443=1, MAX(A$7:A443)+1, A443)</f>
        <v>24</v>
      </c>
      <c r="B444" s="3">
        <v>11</v>
      </c>
      <c r="C444" s="11" t="s">
        <v>868</v>
      </c>
      <c r="D444" s="3">
        <v>0</v>
      </c>
      <c r="E444" s="3">
        <v>255</v>
      </c>
      <c r="F444" s="3" t="s">
        <v>52</v>
      </c>
      <c r="G444" s="3">
        <v>16</v>
      </c>
      <c r="H444" s="3">
        <v>16</v>
      </c>
      <c r="I444" s="9"/>
    </row>
    <row r="445" spans="1:9" ht="14" x14ac:dyDescent="0.3">
      <c r="A445" s="3">
        <f>IF(B444=1, MAX(A$7:A444)+1, A444)</f>
        <v>24</v>
      </c>
      <c r="B445" s="3">
        <v>12</v>
      </c>
      <c r="C445" s="11" t="s">
        <v>869</v>
      </c>
      <c r="D445" s="3">
        <v>0</v>
      </c>
      <c r="E445" s="3">
        <v>255</v>
      </c>
      <c r="F445" s="3" t="s">
        <v>52</v>
      </c>
      <c r="G445" s="3">
        <v>16</v>
      </c>
      <c r="H445" s="3">
        <v>16</v>
      </c>
      <c r="I445" s="9"/>
    </row>
    <row r="446" spans="1:9" ht="14" x14ac:dyDescent="0.3">
      <c r="A446" s="3">
        <f>IF(B445=1, MAX(A$7:A445)+1, A445)</f>
        <v>24</v>
      </c>
      <c r="B446" s="3">
        <v>13</v>
      </c>
      <c r="C446" s="11" t="s">
        <v>870</v>
      </c>
      <c r="D446" s="3">
        <v>2</v>
      </c>
      <c r="E446" s="3">
        <v>255</v>
      </c>
      <c r="F446" s="3" t="s">
        <v>52</v>
      </c>
      <c r="G446" s="3">
        <v>16</v>
      </c>
      <c r="H446" s="3">
        <v>16</v>
      </c>
      <c r="I446" s="9"/>
    </row>
    <row r="447" spans="1:9" ht="14" x14ac:dyDescent="0.3">
      <c r="A447" s="3">
        <f>IF(B446=1, MAX(A$7:A446)+1, A446)</f>
        <v>24</v>
      </c>
      <c r="B447" s="3">
        <v>14</v>
      </c>
      <c r="C447" s="11" t="s">
        <v>871</v>
      </c>
      <c r="D447" s="3">
        <v>1</v>
      </c>
      <c r="E447" s="3">
        <v>1</v>
      </c>
      <c r="F447" s="3" t="s">
        <v>52</v>
      </c>
      <c r="G447" s="3">
        <v>16</v>
      </c>
      <c r="H447" s="3">
        <v>16</v>
      </c>
      <c r="I447" s="9"/>
    </row>
    <row r="448" spans="1:9" ht="14" x14ac:dyDescent="0.3">
      <c r="A448" s="3">
        <f>IF(B447=1, MAX(A$7:A447)+1, A447)</f>
        <v>24</v>
      </c>
      <c r="B448" s="3">
        <v>1</v>
      </c>
      <c r="C448" s="11" t="s">
        <v>872</v>
      </c>
      <c r="D448" s="3">
        <v>3.05</v>
      </c>
      <c r="E448" s="3">
        <v>3.2</v>
      </c>
      <c r="F448" s="3" t="s">
        <v>8</v>
      </c>
      <c r="G448" s="3">
        <v>16</v>
      </c>
      <c r="H448" s="3">
        <v>16</v>
      </c>
      <c r="I448" s="9"/>
    </row>
    <row r="449" spans="1:9" ht="14" x14ac:dyDescent="0.3">
      <c r="A449" s="3">
        <f>IF(B448=1, MAX(A$7:A448)+1, A448)</f>
        <v>25</v>
      </c>
      <c r="B449" s="3">
        <v>2</v>
      </c>
      <c r="C449" s="11" t="s">
        <v>873</v>
      </c>
      <c r="D449" s="3">
        <v>1.21</v>
      </c>
      <c r="E449" s="3">
        <v>1.25</v>
      </c>
      <c r="F449" s="3" t="s">
        <v>8</v>
      </c>
      <c r="G449" s="3">
        <v>16</v>
      </c>
      <c r="H449" s="3">
        <v>16</v>
      </c>
      <c r="I449" s="9"/>
    </row>
    <row r="450" spans="1:9" ht="14" x14ac:dyDescent="0.3">
      <c r="A450" s="3">
        <f>IF(B449=1, MAX(A$7:A449)+1, A449)</f>
        <v>25</v>
      </c>
      <c r="B450" s="3">
        <v>3</v>
      </c>
      <c r="C450" s="11" t="s">
        <v>874</v>
      </c>
      <c r="D450" s="3">
        <v>1.0900000000000001</v>
      </c>
      <c r="E450" s="3">
        <v>1.1100000000000001</v>
      </c>
      <c r="F450" s="3" t="s">
        <v>8</v>
      </c>
      <c r="G450" s="3">
        <v>16</v>
      </c>
      <c r="H450" s="3">
        <v>16</v>
      </c>
      <c r="I450" s="9"/>
    </row>
    <row r="451" spans="1:9" ht="14" x14ac:dyDescent="0.3">
      <c r="A451" s="3">
        <f>IF(B450=1, MAX(A$7:A450)+1, A450)</f>
        <v>25</v>
      </c>
      <c r="B451" s="3">
        <v>4</v>
      </c>
      <c r="C451" s="11" t="s">
        <v>875</v>
      </c>
      <c r="D451" s="3">
        <v>1.5</v>
      </c>
      <c r="E451" s="3">
        <v>1.7</v>
      </c>
      <c r="F451" s="3" t="s">
        <v>18</v>
      </c>
      <c r="G451" s="3">
        <v>16</v>
      </c>
      <c r="H451" s="3">
        <v>16</v>
      </c>
      <c r="I451" s="9"/>
    </row>
    <row r="452" spans="1:9" ht="14" x14ac:dyDescent="0.3">
      <c r="A452" s="3">
        <f>IF(B451=1, MAX(A$7:A451)+1, A451)</f>
        <v>25</v>
      </c>
      <c r="B452" s="3">
        <v>5</v>
      </c>
      <c r="C452" s="11" t="s">
        <v>876</v>
      </c>
      <c r="D452" s="3">
        <v>14</v>
      </c>
      <c r="E452" s="3">
        <v>18</v>
      </c>
      <c r="F452" s="3" t="s">
        <v>792</v>
      </c>
      <c r="G452" s="3">
        <v>16</v>
      </c>
      <c r="H452" s="3">
        <v>16</v>
      </c>
      <c r="I452" s="9"/>
    </row>
    <row r="453" spans="1:9" ht="14" x14ac:dyDescent="0.3">
      <c r="A453" s="3">
        <f>IF(B452=1, MAX(A$7:A452)+1, A452)</f>
        <v>25</v>
      </c>
      <c r="B453" s="3">
        <v>6</v>
      </c>
      <c r="C453" s="11" t="s">
        <v>196</v>
      </c>
      <c r="D453" s="3">
        <v>1.05</v>
      </c>
      <c r="E453" s="3">
        <v>1.23</v>
      </c>
      <c r="F453" s="3" t="s">
        <v>207</v>
      </c>
      <c r="G453" s="3">
        <v>16</v>
      </c>
      <c r="H453" s="3">
        <v>16</v>
      </c>
      <c r="I453" s="9"/>
    </row>
    <row r="454" spans="1:9" ht="14" x14ac:dyDescent="0.3">
      <c r="A454" s="3">
        <f>IF(B453=1, MAX(A$7:A453)+1, A453)</f>
        <v>25</v>
      </c>
      <c r="B454" s="3">
        <v>7</v>
      </c>
      <c r="C454" s="11" t="s">
        <v>877</v>
      </c>
      <c r="D454" s="3">
        <v>1.05</v>
      </c>
      <c r="E454" s="3">
        <v>1.23</v>
      </c>
      <c r="F454" s="3" t="s">
        <v>207</v>
      </c>
      <c r="G454" s="3">
        <v>16</v>
      </c>
      <c r="H454" s="3">
        <v>16</v>
      </c>
      <c r="I454" s="9"/>
    </row>
    <row r="455" spans="1:9" ht="14" x14ac:dyDescent="0.3">
      <c r="A455" s="3">
        <f>IF(B454=1, MAX(A$7:A454)+1, A454)</f>
        <v>25</v>
      </c>
      <c r="B455" s="3">
        <v>8</v>
      </c>
      <c r="C455" s="11" t="s">
        <v>1616</v>
      </c>
      <c r="D455" s="3">
        <v>1.1499999999999999</v>
      </c>
      <c r="E455" s="3">
        <v>1.35</v>
      </c>
      <c r="F455" s="3" t="s">
        <v>207</v>
      </c>
      <c r="G455" s="3">
        <v>16</v>
      </c>
      <c r="H455" s="3">
        <v>16</v>
      </c>
      <c r="I455" s="9"/>
    </row>
    <row r="456" spans="1:9" ht="14" x14ac:dyDescent="0.3">
      <c r="A456" s="3">
        <f>IF(B455=1, MAX(A$7:A455)+1, A455)</f>
        <v>25</v>
      </c>
      <c r="B456" s="3">
        <v>9</v>
      </c>
      <c r="C456" s="11" t="s">
        <v>878</v>
      </c>
      <c r="D456" s="3">
        <v>1.1499999999999999</v>
      </c>
      <c r="E456" s="3">
        <v>1.35</v>
      </c>
      <c r="F456" s="3" t="s">
        <v>207</v>
      </c>
      <c r="G456" s="3">
        <v>16</v>
      </c>
      <c r="H456" s="3">
        <v>16</v>
      </c>
      <c r="I456" s="9"/>
    </row>
    <row r="457" spans="1:9" ht="14" x14ac:dyDescent="0.3">
      <c r="A457" s="3">
        <f>IF(B456=1, MAX(A$7:A456)+1, A456)</f>
        <v>25</v>
      </c>
      <c r="B457" s="3">
        <v>10</v>
      </c>
      <c r="C457" s="11" t="s">
        <v>879</v>
      </c>
      <c r="D457" s="3">
        <v>0.42749999999999999</v>
      </c>
      <c r="E457" s="3">
        <v>0.47249999999999998</v>
      </c>
      <c r="F457" s="3" t="s">
        <v>8</v>
      </c>
      <c r="G457" s="3">
        <v>16</v>
      </c>
      <c r="H457" s="3">
        <v>16</v>
      </c>
      <c r="I457" s="9"/>
    </row>
    <row r="458" spans="1:9" ht="14" x14ac:dyDescent="0.3">
      <c r="A458" s="3">
        <f>IF(B457=1, MAX(A$7:A457)+1, A457)</f>
        <v>25</v>
      </c>
      <c r="B458" s="3">
        <v>11</v>
      </c>
      <c r="C458" s="11" t="s">
        <v>880</v>
      </c>
      <c r="D458" s="3">
        <v>0.42749999999999999</v>
      </c>
      <c r="E458" s="3">
        <v>0.47249999999999998</v>
      </c>
      <c r="F458" s="3" t="s">
        <v>8</v>
      </c>
      <c r="G458" s="3">
        <v>16</v>
      </c>
      <c r="H458" s="3">
        <v>16</v>
      </c>
      <c r="I458" s="9"/>
    </row>
    <row r="459" spans="1:9" ht="14" x14ac:dyDescent="0.3">
      <c r="A459" s="3">
        <f>IF(B458=1, MAX(A$7:A458)+1, A458)</f>
        <v>25</v>
      </c>
      <c r="B459" s="3">
        <v>12</v>
      </c>
      <c r="C459" s="11" t="s">
        <v>241</v>
      </c>
      <c r="D459" s="3">
        <v>410</v>
      </c>
      <c r="E459" s="3">
        <v>470</v>
      </c>
      <c r="F459" s="3" t="s">
        <v>17</v>
      </c>
      <c r="G459" s="3">
        <v>16</v>
      </c>
      <c r="H459" s="3">
        <v>16</v>
      </c>
      <c r="I459" s="9"/>
    </row>
    <row r="460" spans="1:9" ht="14" x14ac:dyDescent="0.3">
      <c r="A460" s="3">
        <f>IF(B459=1, MAX(A$7:A459)+1, A459)</f>
        <v>25</v>
      </c>
      <c r="B460" s="3">
        <v>13</v>
      </c>
      <c r="C460" s="11" t="s">
        <v>881</v>
      </c>
      <c r="D460" s="3">
        <v>410</v>
      </c>
      <c r="E460" s="3">
        <v>470</v>
      </c>
      <c r="F460" s="3" t="s">
        <v>17</v>
      </c>
      <c r="G460" s="3">
        <v>16</v>
      </c>
      <c r="H460" s="3">
        <v>16</v>
      </c>
      <c r="I460" s="9"/>
    </row>
    <row r="461" spans="1:9" ht="14" x14ac:dyDescent="0.3">
      <c r="A461" s="3">
        <f>IF(B460=1, MAX(A$7:A460)+1, A460)</f>
        <v>25</v>
      </c>
      <c r="B461" s="3">
        <v>14</v>
      </c>
      <c r="C461" s="11" t="s">
        <v>882</v>
      </c>
      <c r="D461" s="3">
        <v>410</v>
      </c>
      <c r="E461" s="3">
        <v>470</v>
      </c>
      <c r="F461" s="3" t="s">
        <v>17</v>
      </c>
      <c r="G461" s="3">
        <v>16</v>
      </c>
      <c r="H461" s="3">
        <v>16</v>
      </c>
      <c r="I461" s="9"/>
    </row>
    <row r="462" spans="1:9" ht="14" x14ac:dyDescent="0.3">
      <c r="A462" s="3">
        <f>IF(B461=1, MAX(A$7:A461)+1, A461)</f>
        <v>25</v>
      </c>
      <c r="B462" s="3">
        <v>15</v>
      </c>
      <c r="C462" s="11" t="s">
        <v>883</v>
      </c>
      <c r="D462" s="3">
        <v>410</v>
      </c>
      <c r="E462" s="3">
        <v>470</v>
      </c>
      <c r="F462" s="3" t="s">
        <v>17</v>
      </c>
      <c r="G462" s="3">
        <v>16</v>
      </c>
      <c r="H462" s="3">
        <v>16</v>
      </c>
      <c r="I462" s="9"/>
    </row>
    <row r="463" spans="1:9" ht="14" x14ac:dyDescent="0.3">
      <c r="A463" s="3">
        <f>IF(B462=1, MAX(A$7:A462)+1, A462)</f>
        <v>25</v>
      </c>
      <c r="B463" s="3">
        <v>1</v>
      </c>
      <c r="C463" s="11" t="s">
        <v>884</v>
      </c>
      <c r="D463" s="3">
        <v>1</v>
      </c>
      <c r="E463" s="3">
        <v>4</v>
      </c>
      <c r="F463" s="3" t="s">
        <v>18</v>
      </c>
      <c r="G463" s="3">
        <v>17</v>
      </c>
      <c r="H463" s="3">
        <v>17</v>
      </c>
      <c r="I463" s="9"/>
    </row>
    <row r="464" spans="1:9" ht="14" x14ac:dyDescent="0.3">
      <c r="A464" s="3">
        <f>IF(B463=1, MAX(A$7:A463)+1, A463)</f>
        <v>26</v>
      </c>
      <c r="B464" s="3">
        <v>2</v>
      </c>
      <c r="C464" s="11" t="s">
        <v>122</v>
      </c>
      <c r="D464" s="3">
        <v>2</v>
      </c>
      <c r="E464" s="3">
        <v>4.8</v>
      </c>
      <c r="F464" s="3" t="s">
        <v>18</v>
      </c>
      <c r="G464" s="3">
        <v>17</v>
      </c>
      <c r="H464" s="3">
        <v>17</v>
      </c>
      <c r="I464" s="9"/>
    </row>
    <row r="465" spans="1:9" ht="14" x14ac:dyDescent="0.3">
      <c r="A465" s="3">
        <f>IF(B464=1, MAX(A$7:A464)+1, A464)</f>
        <v>26</v>
      </c>
      <c r="B465" s="3">
        <v>3</v>
      </c>
      <c r="C465" s="11" t="s">
        <v>885</v>
      </c>
      <c r="D465" s="3">
        <v>2</v>
      </c>
      <c r="E465" s="3">
        <v>4.8</v>
      </c>
      <c r="F465" s="3" t="s">
        <v>18</v>
      </c>
      <c r="G465" s="3">
        <v>17</v>
      </c>
      <c r="H465" s="3">
        <v>17</v>
      </c>
      <c r="I465" s="9"/>
    </row>
    <row r="466" spans="1:9" ht="14" x14ac:dyDescent="0.3">
      <c r="A466" s="3">
        <f>IF(B465=1, MAX(A$7:A465)+1, A465)</f>
        <v>26</v>
      </c>
      <c r="B466" s="3">
        <v>4</v>
      </c>
      <c r="C466" s="11" t="s">
        <v>126</v>
      </c>
      <c r="D466" s="3">
        <v>0.7</v>
      </c>
      <c r="E466" s="3">
        <v>1.3</v>
      </c>
      <c r="F466" s="3" t="s">
        <v>886</v>
      </c>
      <c r="G466" s="3">
        <v>17</v>
      </c>
      <c r="H466" s="3">
        <v>17</v>
      </c>
      <c r="I466" s="9"/>
    </row>
    <row r="467" spans="1:9" ht="14" x14ac:dyDescent="0.3">
      <c r="A467" s="3">
        <f>IF(B466=1, MAX(A$7:A466)+1, A466)</f>
        <v>26</v>
      </c>
      <c r="B467" s="3">
        <v>5</v>
      </c>
      <c r="C467" s="11" t="s">
        <v>887</v>
      </c>
      <c r="D467" s="3">
        <v>0.7</v>
      </c>
      <c r="E467" s="3">
        <v>1.3</v>
      </c>
      <c r="F467" s="3" t="s">
        <v>886</v>
      </c>
      <c r="G467" s="3">
        <v>17</v>
      </c>
      <c r="H467" s="3">
        <v>17</v>
      </c>
      <c r="I467" s="9"/>
    </row>
    <row r="468" spans="1:9" ht="14" x14ac:dyDescent="0.3">
      <c r="A468" s="3">
        <f>IF(B467=1, MAX(A$7:A467)+1, A467)</f>
        <v>26</v>
      </c>
      <c r="B468" s="3">
        <v>1</v>
      </c>
      <c r="C468" s="11" t="s">
        <v>69</v>
      </c>
      <c r="D468" s="3">
        <v>60</v>
      </c>
      <c r="E468" s="3">
        <v>95</v>
      </c>
      <c r="F468" s="3" t="s">
        <v>18</v>
      </c>
      <c r="G468" s="3">
        <v>17</v>
      </c>
      <c r="H468" s="3">
        <v>17</v>
      </c>
      <c r="I468" s="9"/>
    </row>
    <row r="469" spans="1:9" ht="14" x14ac:dyDescent="0.3">
      <c r="A469" s="3">
        <f>IF(B468=1, MAX(A$7:A468)+1, A468)</f>
        <v>27</v>
      </c>
      <c r="B469" s="3">
        <v>2</v>
      </c>
      <c r="C469" s="11" t="s">
        <v>888</v>
      </c>
      <c r="D469" s="3">
        <v>3.2</v>
      </c>
      <c r="E469" s="3">
        <v>3.4</v>
      </c>
      <c r="F469" s="3" t="s">
        <v>8</v>
      </c>
      <c r="G469" s="3">
        <v>17</v>
      </c>
      <c r="H469" s="3">
        <v>17</v>
      </c>
      <c r="I469" s="9"/>
    </row>
    <row r="470" spans="1:9" ht="14" x14ac:dyDescent="0.3">
      <c r="A470" s="3">
        <f>IF(B469=1, MAX(A$7:A469)+1, A469)</f>
        <v>27</v>
      </c>
      <c r="B470" s="3">
        <v>3</v>
      </c>
      <c r="C470" s="11" t="s">
        <v>71</v>
      </c>
      <c r="D470" s="3">
        <v>170</v>
      </c>
      <c r="E470" s="3">
        <v>217</v>
      </c>
      <c r="F470" s="3" t="s">
        <v>18</v>
      </c>
      <c r="G470" s="3">
        <v>17</v>
      </c>
      <c r="H470" s="3">
        <v>17</v>
      </c>
      <c r="I470" s="9"/>
    </row>
    <row r="471" spans="1:9" ht="14" x14ac:dyDescent="0.3">
      <c r="A471" s="3">
        <f>IF(B470=1, MAX(A$7:A470)+1, A470)</f>
        <v>27</v>
      </c>
      <c r="B471" s="3">
        <v>4</v>
      </c>
      <c r="C471" s="11" t="s">
        <v>73</v>
      </c>
      <c r="D471" s="3">
        <v>260</v>
      </c>
      <c r="E471" s="3">
        <v>355</v>
      </c>
      <c r="F471" s="3" t="s">
        <v>18</v>
      </c>
      <c r="G471" s="3">
        <v>17</v>
      </c>
      <c r="H471" s="3">
        <v>17</v>
      </c>
      <c r="I471" s="9"/>
    </row>
    <row r="472" spans="1:9" ht="14" x14ac:dyDescent="0.3">
      <c r="A472" s="3">
        <f>IF(B471=1, MAX(A$7:A471)+1, A471)</f>
        <v>27</v>
      </c>
      <c r="B472" s="3">
        <v>5</v>
      </c>
      <c r="C472" s="11" t="s">
        <v>889</v>
      </c>
      <c r="D472" s="3">
        <v>260</v>
      </c>
      <c r="E472" s="3">
        <v>355</v>
      </c>
      <c r="F472" s="3" t="s">
        <v>18</v>
      </c>
      <c r="G472" s="3">
        <v>17</v>
      </c>
      <c r="H472" s="3">
        <v>17</v>
      </c>
      <c r="I472" s="9"/>
    </row>
    <row r="473" spans="1:9" ht="14" x14ac:dyDescent="0.3">
      <c r="A473" s="3">
        <f>IF(B472=1, MAX(A$7:A472)+1, A472)</f>
        <v>27</v>
      </c>
      <c r="B473" s="3">
        <v>6</v>
      </c>
      <c r="C473" s="11" t="s">
        <v>75</v>
      </c>
      <c r="D473" s="3">
        <v>225</v>
      </c>
      <c r="E473" s="3">
        <v>325</v>
      </c>
      <c r="F473" s="3" t="s">
        <v>18</v>
      </c>
      <c r="G473" s="3">
        <v>17</v>
      </c>
      <c r="H473" s="3">
        <v>17</v>
      </c>
      <c r="I473" s="9"/>
    </row>
    <row r="474" spans="1:9" ht="14" x14ac:dyDescent="0.3">
      <c r="A474" s="3">
        <f>IF(B473=1, MAX(A$7:A473)+1, A473)</f>
        <v>27</v>
      </c>
      <c r="B474" s="3">
        <v>7</v>
      </c>
      <c r="C474" s="11" t="s">
        <v>890</v>
      </c>
      <c r="D474" s="3">
        <v>225</v>
      </c>
      <c r="E474" s="3">
        <v>325</v>
      </c>
      <c r="F474" s="3" t="s">
        <v>18</v>
      </c>
      <c r="G474" s="3">
        <v>17</v>
      </c>
      <c r="H474" s="3">
        <v>17</v>
      </c>
      <c r="I474" s="9"/>
    </row>
    <row r="475" spans="1:9" ht="14" x14ac:dyDescent="0.3">
      <c r="A475" s="3">
        <f>IF(B474=1, MAX(A$7:A474)+1, A474)</f>
        <v>27</v>
      </c>
      <c r="B475" s="3">
        <v>8</v>
      </c>
      <c r="C475" s="11" t="s">
        <v>891</v>
      </c>
      <c r="D475" s="3">
        <v>4.9000000000000004</v>
      </c>
      <c r="E475" s="3">
        <v>5.0999999999999996</v>
      </c>
      <c r="F475" s="3" t="s">
        <v>8</v>
      </c>
      <c r="G475" s="3">
        <v>17</v>
      </c>
      <c r="H475" s="3">
        <v>17</v>
      </c>
      <c r="I475" s="9"/>
    </row>
    <row r="476" spans="1:9" ht="14" x14ac:dyDescent="0.3">
      <c r="A476" s="3">
        <f>IF(B475=1, MAX(A$7:A475)+1, A475)</f>
        <v>27</v>
      </c>
      <c r="B476" s="3">
        <v>9</v>
      </c>
      <c r="C476" s="11" t="s">
        <v>892</v>
      </c>
      <c r="D476" s="3">
        <v>4.9000000000000004</v>
      </c>
      <c r="E476" s="3">
        <v>5.0999999999999996</v>
      </c>
      <c r="F476" s="3" t="s">
        <v>8</v>
      </c>
      <c r="G476" s="3">
        <v>17</v>
      </c>
      <c r="H476" s="3">
        <v>17</v>
      </c>
      <c r="I476" s="9"/>
    </row>
    <row r="477" spans="1:9" ht="14" x14ac:dyDescent="0.3">
      <c r="A477" s="3">
        <f>IF(B476=1, MAX(A$7:A476)+1, A476)</f>
        <v>27</v>
      </c>
      <c r="B477" s="3">
        <v>10</v>
      </c>
      <c r="C477" s="11" t="s">
        <v>77</v>
      </c>
      <c r="D477" s="3">
        <v>190</v>
      </c>
      <c r="E477" s="3">
        <v>250</v>
      </c>
      <c r="F477" s="3" t="s">
        <v>18</v>
      </c>
      <c r="G477" s="3">
        <v>17</v>
      </c>
      <c r="H477" s="3">
        <v>17</v>
      </c>
      <c r="I477" s="9"/>
    </row>
    <row r="478" spans="1:9" ht="14" x14ac:dyDescent="0.3">
      <c r="A478" s="3">
        <f>IF(B477=1, MAX(A$7:A477)+1, A477)</f>
        <v>27</v>
      </c>
      <c r="B478" s="3">
        <v>11</v>
      </c>
      <c r="C478" s="11" t="s">
        <v>893</v>
      </c>
      <c r="D478" s="3">
        <v>190</v>
      </c>
      <c r="E478" s="3">
        <v>250</v>
      </c>
      <c r="F478" s="3" t="s">
        <v>18</v>
      </c>
      <c r="G478" s="3">
        <v>17</v>
      </c>
      <c r="H478" s="3">
        <v>17</v>
      </c>
      <c r="I478" s="9"/>
    </row>
    <row r="479" spans="1:9" ht="14" x14ac:dyDescent="0.3">
      <c r="A479" s="3">
        <f>IF(B478=1, MAX(A$7:A478)+1, A478)</f>
        <v>27</v>
      </c>
      <c r="B479" s="3">
        <v>12</v>
      </c>
      <c r="C479" s="11" t="s">
        <v>79</v>
      </c>
      <c r="D479" s="3">
        <v>30</v>
      </c>
      <c r="E479" s="3">
        <v>63</v>
      </c>
      <c r="F479" s="3" t="s">
        <v>18</v>
      </c>
      <c r="G479" s="3">
        <v>17</v>
      </c>
      <c r="H479" s="3">
        <v>17</v>
      </c>
      <c r="I479" s="9"/>
    </row>
    <row r="480" spans="1:9" ht="14" x14ac:dyDescent="0.3">
      <c r="A480" s="3">
        <f>IF(B479=1, MAX(A$7:A479)+1, A479)</f>
        <v>27</v>
      </c>
      <c r="B480" s="3">
        <v>13</v>
      </c>
      <c r="C480" s="11" t="s">
        <v>894</v>
      </c>
      <c r="D480" s="3">
        <v>30</v>
      </c>
      <c r="E480" s="3">
        <v>63</v>
      </c>
      <c r="F480" s="3" t="s">
        <v>18</v>
      </c>
      <c r="G480" s="3">
        <v>17</v>
      </c>
      <c r="H480" s="3">
        <v>17</v>
      </c>
      <c r="I480" s="9"/>
    </row>
    <row r="481" spans="1:9" ht="14" x14ac:dyDescent="0.3">
      <c r="A481" s="3">
        <f>IF(B480=1, MAX(A$7:A480)+1, A480)</f>
        <v>27</v>
      </c>
      <c r="B481" s="3">
        <v>14</v>
      </c>
      <c r="C481" s="11" t="s">
        <v>895</v>
      </c>
      <c r="D481" s="3">
        <v>30</v>
      </c>
      <c r="E481" s="3">
        <v>63</v>
      </c>
      <c r="F481" s="3" t="s">
        <v>18</v>
      </c>
      <c r="G481" s="3">
        <v>17</v>
      </c>
      <c r="H481" s="3">
        <v>17</v>
      </c>
      <c r="I481" s="9"/>
    </row>
    <row r="482" spans="1:9" ht="14" x14ac:dyDescent="0.3">
      <c r="A482" s="3">
        <f>IF(B481=1, MAX(A$7:A481)+1, A481)</f>
        <v>27</v>
      </c>
      <c r="B482" s="3">
        <v>15</v>
      </c>
      <c r="C482" s="11" t="s">
        <v>896</v>
      </c>
      <c r="D482" s="3">
        <v>30</v>
      </c>
      <c r="E482" s="3">
        <v>63</v>
      </c>
      <c r="F482" s="3" t="s">
        <v>18</v>
      </c>
      <c r="G482" s="3">
        <v>17</v>
      </c>
      <c r="H482" s="3">
        <v>17</v>
      </c>
      <c r="I482" s="9"/>
    </row>
    <row r="483" spans="1:9" ht="14" x14ac:dyDescent="0.3">
      <c r="A483" s="3">
        <f>IF(B482=1, MAX(A$7:A482)+1, A482)</f>
        <v>27</v>
      </c>
      <c r="B483" s="3">
        <v>1</v>
      </c>
      <c r="C483" s="11" t="s">
        <v>188</v>
      </c>
      <c r="D483" s="3">
        <v>3.45</v>
      </c>
      <c r="E483" s="3">
        <v>3.75</v>
      </c>
      <c r="F483" s="3" t="s">
        <v>8</v>
      </c>
      <c r="G483" s="3">
        <v>18</v>
      </c>
      <c r="H483" s="3">
        <v>18</v>
      </c>
      <c r="I483" s="9"/>
    </row>
    <row r="484" spans="1:9" ht="14" x14ac:dyDescent="0.3">
      <c r="A484" s="3">
        <f>IF(B483=1, MAX(A$7:A483)+1, A483)</f>
        <v>28</v>
      </c>
      <c r="B484" s="3">
        <v>2</v>
      </c>
      <c r="C484" s="11" t="s">
        <v>897</v>
      </c>
      <c r="D484" s="3">
        <v>3.15</v>
      </c>
      <c r="E484" s="3">
        <v>3.55</v>
      </c>
      <c r="F484" s="3" t="s">
        <v>8</v>
      </c>
      <c r="G484" s="3">
        <v>18</v>
      </c>
      <c r="H484" s="3">
        <v>18</v>
      </c>
      <c r="I484" s="9"/>
    </row>
    <row r="485" spans="1:9" ht="14" x14ac:dyDescent="0.3">
      <c r="A485" s="3">
        <f>IF(B484=1, MAX(A$7:A484)+1, A484)</f>
        <v>28</v>
      </c>
      <c r="B485" s="3">
        <v>3</v>
      </c>
      <c r="C485" s="11" t="s">
        <v>190</v>
      </c>
      <c r="D485" s="3">
        <v>0.2</v>
      </c>
      <c r="E485" s="3">
        <v>0.3</v>
      </c>
      <c r="F485" s="3" t="s">
        <v>8</v>
      </c>
      <c r="G485" s="3">
        <v>18</v>
      </c>
      <c r="H485" s="3">
        <v>18</v>
      </c>
      <c r="I485" s="9"/>
    </row>
    <row r="486" spans="1:9" ht="14" x14ac:dyDescent="0.3">
      <c r="A486" s="3">
        <f>IF(B485=1, MAX(A$7:A485)+1, A485)</f>
        <v>28</v>
      </c>
      <c r="B486" s="3">
        <v>4</v>
      </c>
      <c r="C486" s="11" t="s">
        <v>193</v>
      </c>
      <c r="D486" s="3">
        <v>6</v>
      </c>
      <c r="E486" s="3">
        <v>23.5</v>
      </c>
      <c r="F486" s="3" t="s">
        <v>33</v>
      </c>
      <c r="G486" s="3">
        <v>18</v>
      </c>
      <c r="H486" s="3">
        <v>18</v>
      </c>
      <c r="I486" s="9"/>
    </row>
    <row r="487" spans="1:9" ht="14" x14ac:dyDescent="0.3">
      <c r="A487" s="3">
        <f>IF(B486=1, MAX(A$7:A486)+1, A486)</f>
        <v>28</v>
      </c>
      <c r="B487" s="3">
        <v>5</v>
      </c>
      <c r="C487" s="11" t="s">
        <v>898</v>
      </c>
      <c r="D487" s="3">
        <v>6</v>
      </c>
      <c r="E487" s="3">
        <v>23.5</v>
      </c>
      <c r="F487" s="3" t="s">
        <v>33</v>
      </c>
      <c r="G487" s="3">
        <v>18</v>
      </c>
      <c r="H487" s="3">
        <v>18</v>
      </c>
      <c r="I487" s="9"/>
    </row>
    <row r="488" spans="1:9" ht="14" x14ac:dyDescent="0.3">
      <c r="A488" s="3">
        <f>IF(B487=1, MAX(A$7:A487)+1, A487)</f>
        <v>28</v>
      </c>
      <c r="B488" s="3">
        <v>6</v>
      </c>
      <c r="C488" s="11" t="s">
        <v>82</v>
      </c>
      <c r="D488" s="3">
        <v>2.36</v>
      </c>
      <c r="E488" s="3">
        <v>2.64</v>
      </c>
      <c r="F488" s="3" t="s">
        <v>8</v>
      </c>
      <c r="G488" s="3">
        <v>18</v>
      </c>
      <c r="H488" s="3">
        <v>18</v>
      </c>
      <c r="I488" s="9"/>
    </row>
    <row r="489" spans="1:9" ht="14" x14ac:dyDescent="0.3">
      <c r="A489" s="3">
        <f>IF(B488=1, MAX(A$7:A488)+1, A488)</f>
        <v>28</v>
      </c>
      <c r="B489" s="3">
        <v>7</v>
      </c>
      <c r="C489" s="11" t="s">
        <v>899</v>
      </c>
      <c r="D489" s="3">
        <v>2.149</v>
      </c>
      <c r="E489" s="3">
        <v>2.4510000000000001</v>
      </c>
      <c r="F489" s="3" t="s">
        <v>8</v>
      </c>
      <c r="G489" s="3">
        <v>18</v>
      </c>
      <c r="H489" s="3">
        <v>18</v>
      </c>
      <c r="I489" s="9"/>
    </row>
    <row r="490" spans="1:9" ht="14" x14ac:dyDescent="0.3">
      <c r="A490" s="3">
        <f>IF(B489=1, MAX(A$7:A489)+1, A489)</f>
        <v>28</v>
      </c>
      <c r="B490" s="3">
        <v>8</v>
      </c>
      <c r="C490" s="11" t="s">
        <v>85</v>
      </c>
      <c r="D490" s="3">
        <v>0.1</v>
      </c>
      <c r="E490" s="3">
        <v>0.45</v>
      </c>
      <c r="F490" s="3" t="s">
        <v>8</v>
      </c>
      <c r="G490" s="3">
        <v>18</v>
      </c>
      <c r="H490" s="3">
        <v>18</v>
      </c>
      <c r="I490" s="9"/>
    </row>
    <row r="491" spans="1:9" ht="14" x14ac:dyDescent="0.3">
      <c r="A491" s="3">
        <f>IF(B490=1, MAX(A$7:A490)+1, A490)</f>
        <v>28</v>
      </c>
      <c r="B491" s="3">
        <v>9</v>
      </c>
      <c r="C491" s="11" t="s">
        <v>93</v>
      </c>
      <c r="D491" s="3">
        <v>70</v>
      </c>
      <c r="E491" s="3">
        <v>150</v>
      </c>
      <c r="F491" s="3" t="s">
        <v>17</v>
      </c>
      <c r="G491" s="3">
        <v>18</v>
      </c>
      <c r="H491" s="3">
        <v>18</v>
      </c>
      <c r="I491" s="9"/>
    </row>
    <row r="492" spans="1:9" ht="14" x14ac:dyDescent="0.3">
      <c r="A492" s="3">
        <f>IF(B491=1, MAX(A$7:A491)+1, A491)</f>
        <v>28</v>
      </c>
      <c r="B492" s="3">
        <v>10</v>
      </c>
      <c r="C492" s="11" t="s">
        <v>102</v>
      </c>
      <c r="D492" s="3">
        <v>5</v>
      </c>
      <c r="E492" s="3">
        <v>20</v>
      </c>
      <c r="F492" s="3" t="s">
        <v>33</v>
      </c>
      <c r="G492" s="3">
        <v>18</v>
      </c>
      <c r="H492" s="3">
        <v>18</v>
      </c>
      <c r="I492" s="9"/>
    </row>
    <row r="493" spans="1:9" ht="14" x14ac:dyDescent="0.3">
      <c r="A493" s="3">
        <f>IF(B492=1, MAX(A$7:A492)+1, A492)</f>
        <v>28</v>
      </c>
      <c r="B493" s="3">
        <v>11</v>
      </c>
      <c r="C493" s="11" t="s">
        <v>99</v>
      </c>
      <c r="D493" s="3">
        <v>1.4</v>
      </c>
      <c r="E493" s="3">
        <v>2.9</v>
      </c>
      <c r="F493" s="3" t="s">
        <v>42</v>
      </c>
      <c r="G493" s="3">
        <v>18</v>
      </c>
      <c r="H493" s="3">
        <v>18</v>
      </c>
      <c r="I493" s="9"/>
    </row>
    <row r="494" spans="1:9" ht="14" x14ac:dyDescent="0.3">
      <c r="A494" s="3">
        <f>IF(B493=1, MAX(A$7:A493)+1, A493)</f>
        <v>28</v>
      </c>
      <c r="B494" s="3">
        <v>12</v>
      </c>
      <c r="C494" s="11" t="s">
        <v>110</v>
      </c>
      <c r="D494" s="3">
        <v>-0.1</v>
      </c>
      <c r="E494" s="3">
        <v>0.1</v>
      </c>
      <c r="F494" s="3" t="s">
        <v>8</v>
      </c>
      <c r="G494" s="3">
        <v>18</v>
      </c>
      <c r="H494" s="3">
        <v>18</v>
      </c>
      <c r="I494" s="9"/>
    </row>
    <row r="495" spans="1:9" ht="14" x14ac:dyDescent="0.3">
      <c r="A495" s="3">
        <f>IF(B494=1, MAX(A$7:A494)+1, A494)</f>
        <v>28</v>
      </c>
      <c r="B495" s="3">
        <v>13</v>
      </c>
      <c r="C495" s="11" t="s">
        <v>114</v>
      </c>
      <c r="D495" s="3">
        <v>8</v>
      </c>
      <c r="E495" s="3">
        <v>12</v>
      </c>
      <c r="F495" s="3" t="s">
        <v>900</v>
      </c>
      <c r="G495" s="3">
        <v>18</v>
      </c>
      <c r="H495" s="3">
        <v>18</v>
      </c>
      <c r="I495" s="9"/>
    </row>
    <row r="496" spans="1:9" ht="14" x14ac:dyDescent="0.3">
      <c r="A496" s="3">
        <f>IF(B495=1, MAX(A$7:A495)+1, A495)</f>
        <v>28</v>
      </c>
      <c r="B496" s="3">
        <v>14</v>
      </c>
      <c r="C496" s="11" t="s">
        <v>901</v>
      </c>
      <c r="D496" s="3">
        <v>3.05</v>
      </c>
      <c r="E496" s="3">
        <v>3.19</v>
      </c>
      <c r="F496" s="3" t="s">
        <v>8</v>
      </c>
      <c r="G496" s="3">
        <v>18</v>
      </c>
      <c r="H496" s="3">
        <v>18</v>
      </c>
      <c r="I496" s="9"/>
    </row>
    <row r="497" spans="1:9" ht="14" x14ac:dyDescent="0.3">
      <c r="A497" s="3">
        <f>IF(B496=1, MAX(A$7:A496)+1, A496)</f>
        <v>28</v>
      </c>
      <c r="B497" s="3">
        <v>15</v>
      </c>
      <c r="C497" s="11" t="s">
        <v>902</v>
      </c>
      <c r="D497" s="3">
        <v>3.05</v>
      </c>
      <c r="E497" s="3">
        <v>3.19</v>
      </c>
      <c r="F497" s="3" t="s">
        <v>8</v>
      </c>
      <c r="G497" s="3">
        <v>18</v>
      </c>
      <c r="H497" s="3">
        <v>18</v>
      </c>
      <c r="I497" s="9"/>
    </row>
    <row r="498" spans="1:9" ht="14" x14ac:dyDescent="0.3">
      <c r="A498" s="3">
        <f>IF(B497=1, MAX(A$7:A497)+1, A497)</f>
        <v>28</v>
      </c>
      <c r="B498" s="3">
        <v>16</v>
      </c>
      <c r="C498" s="11" t="s">
        <v>88</v>
      </c>
      <c r="D498" s="3">
        <v>3.05</v>
      </c>
      <c r="E498" s="3">
        <v>3.19</v>
      </c>
      <c r="F498" s="3" t="s">
        <v>8</v>
      </c>
      <c r="G498" s="3">
        <v>18</v>
      </c>
      <c r="H498" s="3">
        <v>18</v>
      </c>
      <c r="I498" s="9"/>
    </row>
    <row r="499" spans="1:9" ht="14" x14ac:dyDescent="0.3">
      <c r="A499" s="3">
        <f>IF(B498=1, MAX(A$7:A498)+1, A498)</f>
        <v>28</v>
      </c>
      <c r="B499" s="3">
        <v>17</v>
      </c>
      <c r="C499" s="11" t="s">
        <v>91</v>
      </c>
      <c r="D499" s="3">
        <v>3.05</v>
      </c>
      <c r="E499" s="3">
        <v>3.19</v>
      </c>
      <c r="F499" s="3" t="s">
        <v>8</v>
      </c>
      <c r="G499" s="3">
        <v>18</v>
      </c>
      <c r="H499" s="3">
        <v>18</v>
      </c>
      <c r="I499" s="9"/>
    </row>
    <row r="500" spans="1:9" ht="14" x14ac:dyDescent="0.3">
      <c r="A500" s="3">
        <f>IF(B499=1, MAX(A$7:A499)+1, A499)</f>
        <v>28</v>
      </c>
      <c r="B500" s="3">
        <v>1</v>
      </c>
      <c r="C500" s="11" t="s">
        <v>117</v>
      </c>
      <c r="D500" s="3">
        <v>0.8</v>
      </c>
      <c r="E500" s="3">
        <v>1</v>
      </c>
      <c r="F500" s="3" t="s">
        <v>8</v>
      </c>
      <c r="G500" s="3">
        <v>18</v>
      </c>
      <c r="H500" s="3">
        <v>18</v>
      </c>
      <c r="I500" s="9"/>
    </row>
    <row r="501" spans="1:9" ht="14" x14ac:dyDescent="0.3">
      <c r="A501" s="3">
        <f>IF(B500=1, MAX(A$7:A500)+1, A500)</f>
        <v>29</v>
      </c>
      <c r="B501" s="3">
        <v>2</v>
      </c>
      <c r="C501" s="11" t="s">
        <v>119</v>
      </c>
      <c r="D501" s="3">
        <v>0.5</v>
      </c>
      <c r="E501" s="3">
        <v>0.8</v>
      </c>
      <c r="F501" s="3" t="s">
        <v>8</v>
      </c>
      <c r="G501" s="3">
        <v>18</v>
      </c>
      <c r="H501" s="3">
        <v>18</v>
      </c>
      <c r="I501" s="9"/>
    </row>
    <row r="502" spans="1:9" ht="14" x14ac:dyDescent="0.3">
      <c r="A502" s="3">
        <f>IF(B501=1, MAX(A$7:A501)+1, A501)</f>
        <v>29</v>
      </c>
      <c r="B502" s="3">
        <v>3</v>
      </c>
      <c r="C502" s="11" t="s">
        <v>903</v>
      </c>
      <c r="D502" s="3">
        <v>0.8</v>
      </c>
      <c r="E502" s="3">
        <v>1</v>
      </c>
      <c r="F502" s="3" t="s">
        <v>8</v>
      </c>
      <c r="G502" s="3">
        <v>18</v>
      </c>
      <c r="H502" s="3">
        <v>18</v>
      </c>
      <c r="I502" s="9"/>
    </row>
    <row r="503" spans="1:9" ht="14" x14ac:dyDescent="0.3">
      <c r="A503" s="3">
        <f>IF(B502=1, MAX(A$7:A502)+1, A502)</f>
        <v>29</v>
      </c>
      <c r="B503" s="3">
        <v>4</v>
      </c>
      <c r="C503" s="11" t="s">
        <v>904</v>
      </c>
      <c r="D503" s="3">
        <v>0.5</v>
      </c>
      <c r="E503" s="3">
        <v>0.8</v>
      </c>
      <c r="F503" s="3" t="s">
        <v>8</v>
      </c>
      <c r="G503" s="3">
        <v>18</v>
      </c>
      <c r="H503" s="3">
        <v>18</v>
      </c>
      <c r="I503" s="9"/>
    </row>
    <row r="504" spans="1:9" ht="14" x14ac:dyDescent="0.3">
      <c r="A504" s="3">
        <f>IF(B503=1, MAX(A$7:A503)+1, A503)</f>
        <v>29</v>
      </c>
      <c r="B504" s="3">
        <v>5</v>
      </c>
      <c r="C504" s="11" t="s">
        <v>905</v>
      </c>
      <c r="D504" s="3">
        <v>0.8</v>
      </c>
      <c r="E504" s="3">
        <v>1</v>
      </c>
      <c r="F504" s="3" t="s">
        <v>8</v>
      </c>
      <c r="G504" s="3">
        <v>18</v>
      </c>
      <c r="H504" s="3">
        <v>18</v>
      </c>
      <c r="I504" s="9"/>
    </row>
    <row r="505" spans="1:9" ht="14" x14ac:dyDescent="0.3">
      <c r="A505" s="3">
        <f>IF(B504=1, MAX(A$7:A504)+1, A504)</f>
        <v>29</v>
      </c>
      <c r="B505" s="3">
        <v>6</v>
      </c>
      <c r="C505" s="11" t="s">
        <v>906</v>
      </c>
      <c r="D505" s="3">
        <v>0.5</v>
      </c>
      <c r="E505" s="3">
        <v>0.8</v>
      </c>
      <c r="F505" s="3" t="s">
        <v>8</v>
      </c>
      <c r="G505" s="3">
        <v>18</v>
      </c>
      <c r="H505" s="3">
        <v>18</v>
      </c>
      <c r="I505" s="9"/>
    </row>
    <row r="506" spans="1:9" ht="14" x14ac:dyDescent="0.3">
      <c r="A506" s="3">
        <f>IF(B505=1, MAX(A$7:A505)+1, A505)</f>
        <v>29</v>
      </c>
      <c r="B506" s="3">
        <v>7</v>
      </c>
      <c r="C506" s="11" t="s">
        <v>907</v>
      </c>
      <c r="D506" s="3">
        <v>0.8</v>
      </c>
      <c r="E506" s="3">
        <v>1</v>
      </c>
      <c r="F506" s="3" t="s">
        <v>8</v>
      </c>
      <c r="G506" s="3">
        <v>18</v>
      </c>
      <c r="H506" s="3">
        <v>18</v>
      </c>
      <c r="I506" s="9"/>
    </row>
    <row r="507" spans="1:9" ht="14" x14ac:dyDescent="0.3">
      <c r="A507" s="3">
        <f>IF(B506=1, MAX(A$7:A506)+1, A506)</f>
        <v>29</v>
      </c>
      <c r="B507" s="3">
        <v>8</v>
      </c>
      <c r="C507" s="11" t="s">
        <v>908</v>
      </c>
      <c r="D507" s="3">
        <v>0.5</v>
      </c>
      <c r="E507" s="3">
        <v>0.8</v>
      </c>
      <c r="F507" s="3" t="s">
        <v>8</v>
      </c>
      <c r="G507" s="3">
        <v>18</v>
      </c>
      <c r="H507" s="3">
        <v>18</v>
      </c>
      <c r="I507" s="9"/>
    </row>
    <row r="508" spans="1:9" ht="14" x14ac:dyDescent="0.3">
      <c r="A508" s="3">
        <f>IF(B507=1, MAX(A$7:A507)+1, A507)</f>
        <v>29</v>
      </c>
      <c r="B508" s="3">
        <v>9</v>
      </c>
      <c r="C508" s="11" t="s">
        <v>287</v>
      </c>
      <c r="D508" s="3">
        <v>0.8</v>
      </c>
      <c r="E508" s="3">
        <v>1</v>
      </c>
      <c r="F508" s="3" t="s">
        <v>8</v>
      </c>
      <c r="G508" s="3">
        <v>18</v>
      </c>
      <c r="H508" s="3">
        <v>18</v>
      </c>
      <c r="I508" s="9"/>
    </row>
    <row r="509" spans="1:9" ht="14" x14ac:dyDescent="0.3">
      <c r="A509" s="3">
        <f>IF(B508=1, MAX(A$7:A508)+1, A508)</f>
        <v>29</v>
      </c>
      <c r="B509" s="3">
        <v>10</v>
      </c>
      <c r="C509" s="11" t="s">
        <v>289</v>
      </c>
      <c r="D509" s="3">
        <v>0.5</v>
      </c>
      <c r="E509" s="3">
        <v>0.8</v>
      </c>
      <c r="F509" s="3" t="s">
        <v>8</v>
      </c>
      <c r="G509" s="3">
        <v>18</v>
      </c>
      <c r="H509" s="3">
        <v>18</v>
      </c>
      <c r="I509" s="9"/>
    </row>
    <row r="510" spans="1:9" ht="14" x14ac:dyDescent="0.3">
      <c r="A510" s="3">
        <f>IF(B509=1, MAX(A$7:A509)+1, A509)</f>
        <v>29</v>
      </c>
      <c r="B510" s="3">
        <v>11</v>
      </c>
      <c r="C510" s="11" t="s">
        <v>909</v>
      </c>
      <c r="D510" s="3">
        <v>0.8</v>
      </c>
      <c r="E510" s="3">
        <v>1</v>
      </c>
      <c r="F510" s="3" t="s">
        <v>8</v>
      </c>
      <c r="G510" s="3">
        <v>18</v>
      </c>
      <c r="H510" s="3">
        <v>18</v>
      </c>
      <c r="I510" s="9"/>
    </row>
    <row r="511" spans="1:9" ht="14" x14ac:dyDescent="0.3">
      <c r="A511" s="3">
        <f>IF(B510=1, MAX(A$7:A510)+1, A510)</f>
        <v>29</v>
      </c>
      <c r="B511" s="3">
        <v>12</v>
      </c>
      <c r="C511" s="11" t="s">
        <v>910</v>
      </c>
      <c r="D511" s="3">
        <v>0.5</v>
      </c>
      <c r="E511" s="3">
        <v>0.8</v>
      </c>
      <c r="F511" s="3" t="s">
        <v>8</v>
      </c>
      <c r="G511" s="3">
        <v>18</v>
      </c>
      <c r="H511" s="3">
        <v>18</v>
      </c>
      <c r="I511" s="9"/>
    </row>
    <row r="512" spans="1:9" ht="14" x14ac:dyDescent="0.3">
      <c r="A512" s="3">
        <f>IF(B511=1, MAX(A$7:A511)+1, A511)</f>
        <v>29</v>
      </c>
      <c r="B512" s="3">
        <v>1</v>
      </c>
      <c r="C512" s="11" t="s">
        <v>172</v>
      </c>
      <c r="D512" s="3">
        <v>60</v>
      </c>
      <c r="E512" s="3">
        <v>120</v>
      </c>
      <c r="F512" s="3" t="s">
        <v>18</v>
      </c>
      <c r="G512" s="3">
        <v>19</v>
      </c>
      <c r="H512" s="3">
        <v>19</v>
      </c>
      <c r="I512" s="9"/>
    </row>
    <row r="513" spans="1:9" ht="14" x14ac:dyDescent="0.3">
      <c r="A513" s="3">
        <f>IF(B512=1, MAX(A$7:A512)+1, A512)</f>
        <v>30</v>
      </c>
      <c r="B513" s="3">
        <v>2</v>
      </c>
      <c r="C513" s="11" t="s">
        <v>911</v>
      </c>
      <c r="D513" s="3">
        <v>300</v>
      </c>
      <c r="E513" s="3">
        <v>400</v>
      </c>
      <c r="F513" s="3" t="s">
        <v>18</v>
      </c>
      <c r="G513" s="3">
        <v>19</v>
      </c>
      <c r="H513" s="3">
        <v>19</v>
      </c>
      <c r="I513" s="9"/>
    </row>
    <row r="514" spans="1:9" ht="14" x14ac:dyDescent="0.3">
      <c r="A514" s="3">
        <f>IF(B513=1, MAX(A$7:A513)+1, A513)</f>
        <v>30</v>
      </c>
      <c r="B514" s="3">
        <v>3</v>
      </c>
      <c r="C514" s="11" t="s">
        <v>174</v>
      </c>
      <c r="D514" s="3">
        <v>250</v>
      </c>
      <c r="E514" s="3">
        <v>350</v>
      </c>
      <c r="F514" s="3" t="s">
        <v>42</v>
      </c>
      <c r="G514" s="3">
        <v>19</v>
      </c>
      <c r="H514" s="3">
        <v>19</v>
      </c>
      <c r="I514" s="9"/>
    </row>
    <row r="515" spans="1:9" ht="14" x14ac:dyDescent="0.3">
      <c r="A515" s="3">
        <f>IF(B514=1, MAX(A$7:A514)+1, A514)</f>
        <v>30</v>
      </c>
      <c r="B515" s="3">
        <v>4</v>
      </c>
      <c r="C515" s="11" t="s">
        <v>912</v>
      </c>
      <c r="D515" s="3">
        <v>1500</v>
      </c>
      <c r="E515" s="3">
        <v>2200</v>
      </c>
      <c r="F515" s="3" t="s">
        <v>42</v>
      </c>
      <c r="G515" s="3">
        <v>19</v>
      </c>
      <c r="H515" s="3">
        <v>19</v>
      </c>
      <c r="I515" s="9"/>
    </row>
    <row r="516" spans="1:9" ht="14" x14ac:dyDescent="0.3">
      <c r="A516" s="3">
        <f>IF(B515=1, MAX(A$7:A515)+1, A515)</f>
        <v>30</v>
      </c>
      <c r="B516" s="3">
        <v>5</v>
      </c>
      <c r="C516" s="11" t="s">
        <v>186</v>
      </c>
      <c r="D516" s="3">
        <v>25</v>
      </c>
      <c r="E516" s="3">
        <v>55</v>
      </c>
      <c r="F516" s="3" t="s">
        <v>913</v>
      </c>
      <c r="G516" s="3">
        <v>19</v>
      </c>
      <c r="H516" s="3">
        <v>19</v>
      </c>
      <c r="I516" s="9"/>
    </row>
    <row r="517" spans="1:9" ht="14" x14ac:dyDescent="0.3">
      <c r="A517" s="3">
        <f>IF(B516=1, MAX(A$7:A516)+1, A516)</f>
        <v>30</v>
      </c>
      <c r="B517" s="3">
        <v>6</v>
      </c>
      <c r="C517" s="11" t="s">
        <v>914</v>
      </c>
      <c r="D517" s="3">
        <v>60</v>
      </c>
      <c r="E517" s="3">
        <v>120</v>
      </c>
      <c r="F517" s="3" t="s">
        <v>18</v>
      </c>
      <c r="G517" s="3">
        <v>19</v>
      </c>
      <c r="H517" s="3">
        <v>19</v>
      </c>
      <c r="I517" s="9"/>
    </row>
    <row r="518" spans="1:9" ht="14" x14ac:dyDescent="0.3">
      <c r="A518" s="3">
        <f>IF(B517=1, MAX(A$7:A517)+1, A517)</f>
        <v>30</v>
      </c>
      <c r="B518" s="3">
        <v>7</v>
      </c>
      <c r="C518" s="11" t="s">
        <v>915</v>
      </c>
      <c r="D518" s="3">
        <v>300</v>
      </c>
      <c r="E518" s="3">
        <v>420</v>
      </c>
      <c r="F518" s="3" t="s">
        <v>18</v>
      </c>
      <c r="G518" s="3">
        <v>19</v>
      </c>
      <c r="H518" s="3">
        <v>19</v>
      </c>
      <c r="I518" s="9"/>
    </row>
    <row r="519" spans="1:9" ht="14" x14ac:dyDescent="0.3">
      <c r="A519" s="3">
        <f>IF(B518=1, MAX(A$7:A518)+1, A518)</f>
        <v>30</v>
      </c>
      <c r="B519" s="3">
        <v>8</v>
      </c>
      <c r="C519" s="11" t="s">
        <v>916</v>
      </c>
      <c r="D519" s="3">
        <v>250</v>
      </c>
      <c r="E519" s="3">
        <v>350</v>
      </c>
      <c r="F519" s="3" t="s">
        <v>42</v>
      </c>
      <c r="G519" s="3">
        <v>19</v>
      </c>
      <c r="H519" s="3">
        <v>19</v>
      </c>
      <c r="I519" s="9"/>
    </row>
    <row r="520" spans="1:9" ht="14" x14ac:dyDescent="0.3">
      <c r="A520" s="3">
        <f>IF(B519=1, MAX(A$7:A519)+1, A519)</f>
        <v>30</v>
      </c>
      <c r="B520" s="3">
        <v>9</v>
      </c>
      <c r="C520" s="11" t="s">
        <v>917</v>
      </c>
      <c r="D520" s="3">
        <v>1500</v>
      </c>
      <c r="E520" s="3">
        <v>2200</v>
      </c>
      <c r="F520" s="3" t="s">
        <v>42</v>
      </c>
      <c r="G520" s="3">
        <v>19</v>
      </c>
      <c r="H520" s="3">
        <v>19</v>
      </c>
      <c r="I520" s="9"/>
    </row>
    <row r="521" spans="1:9" ht="14" x14ac:dyDescent="0.3">
      <c r="A521" s="3">
        <f>IF(B520=1, MAX(A$7:A520)+1, A520)</f>
        <v>30</v>
      </c>
      <c r="B521" s="3">
        <v>10</v>
      </c>
      <c r="C521" s="11" t="s">
        <v>918</v>
      </c>
      <c r="D521" s="3">
        <v>25</v>
      </c>
      <c r="E521" s="3">
        <v>55</v>
      </c>
      <c r="F521" s="3" t="s">
        <v>913</v>
      </c>
      <c r="G521" s="3">
        <v>19</v>
      </c>
      <c r="H521" s="3">
        <v>19</v>
      </c>
      <c r="I521" s="9"/>
    </row>
    <row r="522" spans="1:9" ht="14" x14ac:dyDescent="0.3">
      <c r="A522" s="3">
        <f>IF(B521=1, MAX(A$7:A521)+1, A521)</f>
        <v>30</v>
      </c>
      <c r="B522" s="3">
        <v>1</v>
      </c>
      <c r="C522" s="11" t="s">
        <v>157</v>
      </c>
      <c r="D522" s="3">
        <v>3.45</v>
      </c>
      <c r="E522" s="3">
        <v>3.75</v>
      </c>
      <c r="F522" s="3" t="s">
        <v>8</v>
      </c>
      <c r="G522" s="3">
        <v>19</v>
      </c>
      <c r="H522" s="3">
        <v>19</v>
      </c>
      <c r="I522" s="9"/>
    </row>
    <row r="523" spans="1:9" ht="14" x14ac:dyDescent="0.3">
      <c r="A523" s="3">
        <f>IF(B522=1, MAX(A$7:A522)+1, A522)</f>
        <v>31</v>
      </c>
      <c r="B523" s="3">
        <v>2</v>
      </c>
      <c r="C523" s="11" t="s">
        <v>919</v>
      </c>
      <c r="D523" s="3">
        <v>3.15</v>
      </c>
      <c r="E523" s="3">
        <v>3.55</v>
      </c>
      <c r="F523" s="3" t="s">
        <v>8</v>
      </c>
      <c r="G523" s="3">
        <v>19</v>
      </c>
      <c r="H523" s="3">
        <v>19</v>
      </c>
      <c r="I523" s="9"/>
    </row>
    <row r="524" spans="1:9" ht="14" x14ac:dyDescent="0.3">
      <c r="A524" s="3">
        <f>IF(B523=1, MAX(A$7:A523)+1, A523)</f>
        <v>31</v>
      </c>
      <c r="B524" s="3">
        <v>3</v>
      </c>
      <c r="C524" s="11" t="s">
        <v>160</v>
      </c>
      <c r="D524" s="3">
        <v>0.2</v>
      </c>
      <c r="E524" s="3">
        <v>0.3</v>
      </c>
      <c r="F524" s="3" t="s">
        <v>8</v>
      </c>
      <c r="G524" s="3">
        <v>19</v>
      </c>
      <c r="H524" s="3">
        <v>19</v>
      </c>
      <c r="I524" s="9"/>
    </row>
    <row r="525" spans="1:9" ht="14" x14ac:dyDescent="0.3">
      <c r="A525" s="3">
        <f>IF(B524=1, MAX(A$7:A524)+1, A524)</f>
        <v>31</v>
      </c>
      <c r="B525" s="3">
        <v>4</v>
      </c>
      <c r="C525" s="11" t="s">
        <v>164</v>
      </c>
      <c r="D525" s="3">
        <v>22.2</v>
      </c>
      <c r="E525" s="3">
        <v>23.78</v>
      </c>
      <c r="F525" s="3" t="s">
        <v>8</v>
      </c>
      <c r="G525" s="3">
        <v>19</v>
      </c>
      <c r="H525" s="3">
        <v>19</v>
      </c>
      <c r="I525" s="9"/>
    </row>
    <row r="526" spans="1:9" ht="14" x14ac:dyDescent="0.3">
      <c r="A526" s="3">
        <f>IF(B525=1, MAX(A$7:A525)+1, A525)</f>
        <v>31</v>
      </c>
      <c r="B526" s="3">
        <v>5</v>
      </c>
      <c r="C526" s="11" t="s">
        <v>165</v>
      </c>
      <c r="D526" s="3">
        <v>30.5</v>
      </c>
      <c r="E526" s="3">
        <v>32.68</v>
      </c>
      <c r="F526" s="3" t="s">
        <v>8</v>
      </c>
      <c r="G526" s="3">
        <v>19</v>
      </c>
      <c r="H526" s="3">
        <v>19</v>
      </c>
      <c r="I526" s="9"/>
    </row>
    <row r="527" spans="1:9" ht="14" x14ac:dyDescent="0.3">
      <c r="A527" s="3">
        <f>IF(B526=1, MAX(A$7:A526)+1, A526)</f>
        <v>31</v>
      </c>
      <c r="B527" s="3">
        <v>6</v>
      </c>
      <c r="C527" s="11" t="s">
        <v>920</v>
      </c>
      <c r="D527" s="3">
        <v>3.45</v>
      </c>
      <c r="E527" s="3">
        <v>3.75</v>
      </c>
      <c r="F527" s="3" t="s">
        <v>8</v>
      </c>
      <c r="G527" s="3">
        <v>19</v>
      </c>
      <c r="H527" s="3">
        <v>19</v>
      </c>
      <c r="I527" s="9"/>
    </row>
    <row r="528" spans="1:9" ht="14" x14ac:dyDescent="0.3">
      <c r="A528" s="3">
        <f>IF(B527=1, MAX(A$7:A527)+1, A527)</f>
        <v>31</v>
      </c>
      <c r="B528" s="3">
        <v>7</v>
      </c>
      <c r="C528" s="11" t="s">
        <v>921</v>
      </c>
      <c r="D528" s="3">
        <v>3.15</v>
      </c>
      <c r="E528" s="3">
        <v>3.55</v>
      </c>
      <c r="F528" s="3" t="s">
        <v>8</v>
      </c>
      <c r="G528" s="3">
        <v>19</v>
      </c>
      <c r="H528" s="3">
        <v>19</v>
      </c>
      <c r="I528" s="9"/>
    </row>
    <row r="529" spans="1:9" ht="14" x14ac:dyDescent="0.3">
      <c r="A529" s="3">
        <f>IF(B528=1, MAX(A$7:A528)+1, A528)</f>
        <v>31</v>
      </c>
      <c r="B529" s="3">
        <v>8</v>
      </c>
      <c r="C529" s="11" t="s">
        <v>922</v>
      </c>
      <c r="D529" s="3">
        <v>0.2</v>
      </c>
      <c r="E529" s="3">
        <v>0.3</v>
      </c>
      <c r="F529" s="3" t="s">
        <v>8</v>
      </c>
      <c r="G529" s="3">
        <v>19</v>
      </c>
      <c r="H529" s="3">
        <v>19</v>
      </c>
      <c r="I529" s="9"/>
    </row>
    <row r="530" spans="1:9" ht="14" x14ac:dyDescent="0.3">
      <c r="A530" s="3">
        <f>IF(B529=1, MAX(A$7:A529)+1, A529)</f>
        <v>31</v>
      </c>
      <c r="B530" s="3">
        <v>9</v>
      </c>
      <c r="C530" s="11" t="s">
        <v>923</v>
      </c>
      <c r="D530" s="3">
        <v>22.2</v>
      </c>
      <c r="E530" s="3">
        <v>23.78</v>
      </c>
      <c r="F530" s="3" t="s">
        <v>8</v>
      </c>
      <c r="G530" s="3">
        <v>19</v>
      </c>
      <c r="H530" s="3">
        <v>19</v>
      </c>
      <c r="I530" s="9"/>
    </row>
    <row r="531" spans="1:9" ht="14" x14ac:dyDescent="0.3">
      <c r="A531" s="3">
        <f>IF(B530=1, MAX(A$7:A530)+1, A530)</f>
        <v>31</v>
      </c>
      <c r="B531" s="3">
        <v>10</v>
      </c>
      <c r="C531" s="11" t="s">
        <v>924</v>
      </c>
      <c r="D531" s="3">
        <v>30.5</v>
      </c>
      <c r="E531" s="3">
        <v>32.68</v>
      </c>
      <c r="F531" s="3" t="s">
        <v>8</v>
      </c>
      <c r="G531" s="3">
        <v>19</v>
      </c>
      <c r="H531" s="3">
        <v>19</v>
      </c>
      <c r="I531" s="9"/>
    </row>
    <row r="532" spans="1:9" ht="14" x14ac:dyDescent="0.3">
      <c r="A532" s="3">
        <f>IF(B531=1, MAX(A$7:A531)+1, A531)</f>
        <v>31</v>
      </c>
      <c r="B532" s="3">
        <v>1</v>
      </c>
      <c r="C532" s="11" t="s">
        <v>168</v>
      </c>
      <c r="D532" s="3">
        <v>10</v>
      </c>
      <c r="E532" s="3">
        <v>20</v>
      </c>
      <c r="F532" s="3" t="s">
        <v>33</v>
      </c>
      <c r="G532" s="3">
        <v>20</v>
      </c>
      <c r="H532" s="3">
        <v>20</v>
      </c>
      <c r="I532" s="9"/>
    </row>
    <row r="533" spans="1:9" ht="14" x14ac:dyDescent="0.3">
      <c r="A533" s="3">
        <f>IF(B532=1, MAX(A$7:A532)+1, A532)</f>
        <v>32</v>
      </c>
      <c r="B533" s="3">
        <v>2</v>
      </c>
      <c r="C533" s="11" t="s">
        <v>170</v>
      </c>
      <c r="D533" s="3">
        <v>35</v>
      </c>
      <c r="E533" s="3">
        <v>55</v>
      </c>
      <c r="F533" s="3" t="s">
        <v>33</v>
      </c>
      <c r="G533" s="3">
        <v>20</v>
      </c>
      <c r="H533" s="3">
        <v>20</v>
      </c>
      <c r="I533" s="9"/>
    </row>
    <row r="534" spans="1:9" ht="14" x14ac:dyDescent="0.3">
      <c r="A534" s="3">
        <f>IF(B533=1, MAX(A$7:A533)+1, A533)</f>
        <v>32</v>
      </c>
      <c r="B534" s="3">
        <v>3</v>
      </c>
      <c r="C534" s="11" t="s">
        <v>925</v>
      </c>
      <c r="D534" s="3">
        <v>10</v>
      </c>
      <c r="E534" s="3">
        <v>20</v>
      </c>
      <c r="F534" s="3" t="s">
        <v>33</v>
      </c>
      <c r="G534" s="3">
        <v>20</v>
      </c>
      <c r="H534" s="3">
        <v>20</v>
      </c>
      <c r="I534" s="9"/>
    </row>
    <row r="535" spans="1:9" ht="14" x14ac:dyDescent="0.3">
      <c r="A535" s="3">
        <f>IF(B534=1, MAX(A$7:A534)+1, A534)</f>
        <v>32</v>
      </c>
      <c r="B535" s="3">
        <v>4</v>
      </c>
      <c r="C535" s="11" t="s">
        <v>926</v>
      </c>
      <c r="D535" s="3">
        <v>35</v>
      </c>
      <c r="E535" s="3">
        <v>55</v>
      </c>
      <c r="F535" s="3" t="s">
        <v>33</v>
      </c>
      <c r="G535" s="3">
        <v>20</v>
      </c>
      <c r="H535" s="3">
        <v>20</v>
      </c>
      <c r="I535" s="9"/>
    </row>
    <row r="536" spans="1:9" ht="14" x14ac:dyDescent="0.3">
      <c r="A536" s="3">
        <f>IF(B535=1, MAX(A$7:A535)+1, A535)</f>
        <v>32</v>
      </c>
      <c r="B536" s="3">
        <v>5</v>
      </c>
      <c r="C536" s="11" t="s">
        <v>927</v>
      </c>
      <c r="D536" s="3">
        <v>6</v>
      </c>
      <c r="E536" s="3">
        <v>18.5</v>
      </c>
      <c r="F536" s="3" t="s">
        <v>33</v>
      </c>
      <c r="G536" s="3">
        <v>20</v>
      </c>
      <c r="H536" s="3">
        <v>20</v>
      </c>
      <c r="I536" s="9"/>
    </row>
    <row r="537" spans="1:9" ht="14" x14ac:dyDescent="0.3">
      <c r="A537" s="3">
        <f>IF(B536=1, MAX(A$7:A536)+1, A536)</f>
        <v>32</v>
      </c>
      <c r="B537" s="3">
        <v>6</v>
      </c>
      <c r="C537" s="11" t="s">
        <v>928</v>
      </c>
      <c r="D537" s="3">
        <v>35</v>
      </c>
      <c r="E537" s="3">
        <v>55</v>
      </c>
      <c r="F537" s="3" t="s">
        <v>33</v>
      </c>
      <c r="G537" s="3">
        <v>20</v>
      </c>
      <c r="H537" s="3">
        <v>20</v>
      </c>
      <c r="I537" s="9"/>
    </row>
    <row r="538" spans="1:9" ht="14" x14ac:dyDescent="0.3">
      <c r="A538" s="3">
        <f>IF(B537=1, MAX(A$7:A537)+1, A537)</f>
        <v>32</v>
      </c>
      <c r="B538" s="3">
        <v>7</v>
      </c>
      <c r="C538" s="11" t="s">
        <v>929</v>
      </c>
      <c r="D538" s="3">
        <v>6</v>
      </c>
      <c r="E538" s="3">
        <v>18.5</v>
      </c>
      <c r="F538" s="3" t="s">
        <v>33</v>
      </c>
      <c r="G538" s="3">
        <v>20</v>
      </c>
      <c r="H538" s="3">
        <v>20</v>
      </c>
      <c r="I538" s="9"/>
    </row>
    <row r="539" spans="1:9" ht="14" x14ac:dyDescent="0.3">
      <c r="A539" s="3">
        <f>IF(B538=1, MAX(A$7:A538)+1, A538)</f>
        <v>32</v>
      </c>
      <c r="B539" s="3">
        <v>8</v>
      </c>
      <c r="C539" s="11" t="s">
        <v>930</v>
      </c>
      <c r="D539" s="3">
        <v>35</v>
      </c>
      <c r="E539" s="3">
        <v>55</v>
      </c>
      <c r="F539" s="3" t="s">
        <v>33</v>
      </c>
      <c r="G539" s="3">
        <v>20</v>
      </c>
      <c r="H539" s="3">
        <v>20</v>
      </c>
      <c r="I539" s="9"/>
    </row>
    <row r="540" spans="1:9" ht="14" x14ac:dyDescent="0.3">
      <c r="A540" s="3">
        <f>IF(B539=1, MAX(A$7:A539)+1, A539)</f>
        <v>32</v>
      </c>
      <c r="B540" s="3">
        <v>9</v>
      </c>
      <c r="C540" s="11" t="s">
        <v>931</v>
      </c>
      <c r="D540" s="3">
        <v>30</v>
      </c>
      <c r="E540" s="3">
        <v>60</v>
      </c>
      <c r="F540" s="3" t="s">
        <v>33</v>
      </c>
      <c r="G540" s="3">
        <v>20</v>
      </c>
      <c r="H540" s="3">
        <v>20</v>
      </c>
      <c r="I540" s="9"/>
    </row>
    <row r="541" spans="1:9" ht="14" x14ac:dyDescent="0.3">
      <c r="A541" s="3">
        <f>IF(B540=1, MAX(A$7:A540)+1, A540)</f>
        <v>32</v>
      </c>
      <c r="B541" s="3">
        <v>10</v>
      </c>
      <c r="C541" s="11" t="s">
        <v>932</v>
      </c>
      <c r="D541" s="3">
        <v>30</v>
      </c>
      <c r="E541" s="3">
        <v>60</v>
      </c>
      <c r="F541" s="3" t="s">
        <v>33</v>
      </c>
      <c r="G541" s="3">
        <v>20</v>
      </c>
      <c r="H541" s="3">
        <v>20</v>
      </c>
      <c r="I541" s="9"/>
    </row>
    <row r="542" spans="1:9" ht="14" x14ac:dyDescent="0.3">
      <c r="A542" s="3">
        <f>IF(B541=1, MAX(A$7:A541)+1, A541)</f>
        <v>32</v>
      </c>
      <c r="B542" s="3">
        <v>11</v>
      </c>
      <c r="C542" s="11" t="s">
        <v>933</v>
      </c>
      <c r="D542" s="3">
        <v>9</v>
      </c>
      <c r="E542" s="3">
        <v>23</v>
      </c>
      <c r="F542" s="3" t="s">
        <v>33</v>
      </c>
      <c r="G542" s="3">
        <v>20</v>
      </c>
      <c r="H542" s="3">
        <v>20</v>
      </c>
      <c r="I542" s="9"/>
    </row>
    <row r="543" spans="1:9" ht="14" x14ac:dyDescent="0.3">
      <c r="A543" s="3">
        <f>IF(B542=1, MAX(A$7:A542)+1, A542)</f>
        <v>32</v>
      </c>
      <c r="B543" s="3">
        <v>12</v>
      </c>
      <c r="C543" s="11" t="s">
        <v>934</v>
      </c>
      <c r="D543" s="3">
        <v>9</v>
      </c>
      <c r="E543" s="3">
        <v>23</v>
      </c>
      <c r="F543" s="3" t="s">
        <v>33</v>
      </c>
      <c r="G543" s="3">
        <v>20</v>
      </c>
      <c r="H543" s="3">
        <v>20</v>
      </c>
      <c r="I543" s="9"/>
    </row>
    <row r="544" spans="1:9" ht="14" x14ac:dyDescent="0.3">
      <c r="A544" s="3">
        <f>IF(B543=1, MAX(A$7:A543)+1, A543)</f>
        <v>32</v>
      </c>
      <c r="B544" s="3">
        <v>13</v>
      </c>
      <c r="C544" s="11" t="s">
        <v>199</v>
      </c>
      <c r="D544" s="3">
        <v>4.5</v>
      </c>
      <c r="E544" s="3">
        <v>18.5</v>
      </c>
      <c r="F544" s="3" t="s">
        <v>33</v>
      </c>
      <c r="G544" s="3">
        <v>20</v>
      </c>
      <c r="H544" s="3">
        <v>20</v>
      </c>
      <c r="I544" s="9"/>
    </row>
    <row r="545" spans="1:9" ht="14" x14ac:dyDescent="0.3">
      <c r="A545" s="3">
        <f>IF(B544=1, MAX(A$7:A544)+1, A544)</f>
        <v>32</v>
      </c>
      <c r="B545" s="3">
        <v>14</v>
      </c>
      <c r="C545" s="11" t="s">
        <v>201</v>
      </c>
      <c r="D545" s="3">
        <v>32</v>
      </c>
      <c r="E545" s="3">
        <v>60</v>
      </c>
      <c r="F545" s="3" t="s">
        <v>33</v>
      </c>
      <c r="G545" s="3">
        <v>20</v>
      </c>
      <c r="H545" s="3">
        <v>20</v>
      </c>
      <c r="I545" s="9"/>
    </row>
    <row r="546" spans="1:9" ht="14" x14ac:dyDescent="0.3">
      <c r="A546" s="3">
        <f>IF(B545=1, MAX(A$7:A545)+1, A545)</f>
        <v>32</v>
      </c>
      <c r="B546" s="3">
        <v>15</v>
      </c>
      <c r="C546" s="11" t="s">
        <v>935</v>
      </c>
      <c r="D546" s="3">
        <v>101</v>
      </c>
      <c r="E546" s="3">
        <v>128</v>
      </c>
      <c r="F546" s="3" t="s">
        <v>33</v>
      </c>
      <c r="G546" s="3">
        <v>20</v>
      </c>
      <c r="H546" s="3">
        <v>20</v>
      </c>
      <c r="I546" s="9"/>
    </row>
    <row r="547" spans="1:9" ht="14" x14ac:dyDescent="0.3">
      <c r="A547" s="3">
        <f>IF(B546=1, MAX(A$7:A546)+1, A546)</f>
        <v>32</v>
      </c>
      <c r="B547" s="3">
        <v>16</v>
      </c>
      <c r="C547" s="11" t="s">
        <v>936</v>
      </c>
      <c r="D547" s="3">
        <v>157</v>
      </c>
      <c r="E547" s="3">
        <v>200</v>
      </c>
      <c r="F547" s="3" t="s">
        <v>33</v>
      </c>
      <c r="G547" s="3">
        <v>20</v>
      </c>
      <c r="H547" s="3">
        <v>20</v>
      </c>
      <c r="I547" s="9"/>
    </row>
    <row r="548" spans="1:9" ht="14" x14ac:dyDescent="0.3">
      <c r="A548" s="3">
        <f>IF(B547=1, MAX(A$7:A547)+1, A547)</f>
        <v>32</v>
      </c>
      <c r="B548" s="3">
        <v>17</v>
      </c>
      <c r="C548" s="11" t="s">
        <v>937</v>
      </c>
      <c r="D548" s="3">
        <v>214</v>
      </c>
      <c r="E548" s="3">
        <v>265</v>
      </c>
      <c r="F548" s="3" t="s">
        <v>33</v>
      </c>
      <c r="G548" s="3">
        <v>20</v>
      </c>
      <c r="H548" s="3">
        <v>20</v>
      </c>
      <c r="I548" s="9"/>
    </row>
    <row r="549" spans="1:9" ht="14" x14ac:dyDescent="0.3">
      <c r="A549" s="3">
        <f>IF(B548=1, MAX(A$7:A548)+1, A548)</f>
        <v>32</v>
      </c>
      <c r="B549" s="3">
        <v>18</v>
      </c>
      <c r="C549" s="11" t="s">
        <v>938</v>
      </c>
      <c r="D549" s="3">
        <v>4.5</v>
      </c>
      <c r="E549" s="3">
        <v>18.5</v>
      </c>
      <c r="F549" s="3" t="s">
        <v>33</v>
      </c>
      <c r="G549" s="3">
        <v>20</v>
      </c>
      <c r="H549" s="3">
        <v>20</v>
      </c>
      <c r="I549" s="9"/>
    </row>
    <row r="550" spans="1:9" ht="14" x14ac:dyDescent="0.3">
      <c r="A550" s="3">
        <f>IF(B549=1, MAX(A$7:A549)+1, A549)</f>
        <v>32</v>
      </c>
      <c r="B550" s="3">
        <v>19</v>
      </c>
      <c r="C550" s="11" t="s">
        <v>939</v>
      </c>
      <c r="D550" s="3">
        <v>32</v>
      </c>
      <c r="E550" s="3">
        <v>60</v>
      </c>
      <c r="F550" s="3" t="s">
        <v>33</v>
      </c>
      <c r="G550" s="3">
        <v>20</v>
      </c>
      <c r="H550" s="3">
        <v>20</v>
      </c>
      <c r="I550" s="9"/>
    </row>
    <row r="551" spans="1:9" ht="14" x14ac:dyDescent="0.3">
      <c r="A551" s="3">
        <f>IF(B550=1, MAX(A$7:A550)+1, A550)</f>
        <v>32</v>
      </c>
      <c r="B551" s="3">
        <v>20</v>
      </c>
      <c r="C551" s="11" t="s">
        <v>940</v>
      </c>
      <c r="D551" s="3">
        <v>101</v>
      </c>
      <c r="E551" s="3">
        <v>128</v>
      </c>
      <c r="F551" s="3" t="s">
        <v>33</v>
      </c>
      <c r="G551" s="3">
        <v>20</v>
      </c>
      <c r="H551" s="3">
        <v>20</v>
      </c>
    </row>
    <row r="552" spans="1:9" ht="14" x14ac:dyDescent="0.3">
      <c r="A552" s="3">
        <f>IF(B551=1, MAX(A$7:A551)+1, A551)</f>
        <v>32</v>
      </c>
      <c r="B552" s="3">
        <v>21</v>
      </c>
      <c r="C552" s="11" t="s">
        <v>941</v>
      </c>
      <c r="D552" s="3">
        <v>157</v>
      </c>
      <c r="E552" s="3">
        <v>200</v>
      </c>
      <c r="F552" s="3" t="s">
        <v>33</v>
      </c>
      <c r="G552" s="3">
        <v>20</v>
      </c>
      <c r="H552" s="3">
        <v>20</v>
      </c>
    </row>
    <row r="553" spans="1:9" ht="14" x14ac:dyDescent="0.3">
      <c r="A553" s="3">
        <f>IF(B552=1, MAX(A$7:A552)+1, A552)</f>
        <v>32</v>
      </c>
      <c r="B553" s="3">
        <v>22</v>
      </c>
      <c r="C553" s="11" t="s">
        <v>942</v>
      </c>
      <c r="D553" s="3">
        <v>214</v>
      </c>
      <c r="E553" s="3">
        <v>265</v>
      </c>
      <c r="F553" s="3" t="s">
        <v>33</v>
      </c>
      <c r="G553" s="3">
        <v>20</v>
      </c>
      <c r="H553" s="3">
        <v>20</v>
      </c>
    </row>
    <row r="554" spans="1:9" ht="14" x14ac:dyDescent="0.3">
      <c r="A554" s="3">
        <f>IF(B553=1, MAX(A$7:A553)+1, A553)</f>
        <v>32</v>
      </c>
      <c r="B554" s="3">
        <v>1</v>
      </c>
      <c r="C554" s="11" t="s">
        <v>130</v>
      </c>
      <c r="D554" s="3">
        <v>35</v>
      </c>
      <c r="E554" s="3">
        <v>39.799999999999997</v>
      </c>
      <c r="F554" s="3" t="s">
        <v>8</v>
      </c>
      <c r="G554" s="3">
        <v>21</v>
      </c>
      <c r="H554" s="3">
        <v>21</v>
      </c>
    </row>
    <row r="555" spans="1:9" ht="14" x14ac:dyDescent="0.3">
      <c r="A555" s="3">
        <f>IF(B554=1, MAX(A$7:A554)+1, A554)</f>
        <v>33</v>
      </c>
      <c r="B555" s="3">
        <v>2</v>
      </c>
      <c r="C555" s="11" t="s">
        <v>132</v>
      </c>
      <c r="D555" s="3">
        <v>8</v>
      </c>
      <c r="E555" s="3">
        <v>18</v>
      </c>
      <c r="F555" s="3" t="s">
        <v>18</v>
      </c>
      <c r="G555" s="3">
        <v>21</v>
      </c>
      <c r="H555" s="3">
        <v>21</v>
      </c>
    </row>
    <row r="556" spans="1:9" ht="14" x14ac:dyDescent="0.3">
      <c r="A556" s="3">
        <f>IF(B555=1, MAX(A$7:A555)+1, A555)</f>
        <v>33</v>
      </c>
      <c r="B556" s="3">
        <v>3</v>
      </c>
      <c r="C556" s="11" t="s">
        <v>943</v>
      </c>
      <c r="D556" s="3">
        <v>3.2</v>
      </c>
      <c r="E556" s="3">
        <v>3.4</v>
      </c>
      <c r="F556" s="3" t="s">
        <v>8</v>
      </c>
      <c r="G556" s="3">
        <v>21</v>
      </c>
      <c r="H556" s="3">
        <v>21</v>
      </c>
    </row>
    <row r="557" spans="1:9" ht="14" x14ac:dyDescent="0.3">
      <c r="A557" s="3">
        <f>IF(B556=1, MAX(A$7:A556)+1, A556)</f>
        <v>33</v>
      </c>
      <c r="B557" s="3">
        <v>4</v>
      </c>
      <c r="C557" s="11" t="s">
        <v>944</v>
      </c>
      <c r="D557" s="3">
        <v>3.2</v>
      </c>
      <c r="E557" s="3">
        <v>3.4</v>
      </c>
      <c r="F557" s="3" t="s">
        <v>8</v>
      </c>
      <c r="G557" s="3">
        <v>21</v>
      </c>
      <c r="H557" s="3">
        <v>21</v>
      </c>
    </row>
    <row r="558" spans="1:9" ht="14" x14ac:dyDescent="0.3">
      <c r="A558" s="3">
        <f>IF(B557=1, MAX(A$7:A557)+1, A557)</f>
        <v>33</v>
      </c>
      <c r="B558" s="3">
        <v>5</v>
      </c>
      <c r="C558" s="11" t="s">
        <v>945</v>
      </c>
      <c r="D558" s="3">
        <v>3.2</v>
      </c>
      <c r="E558" s="3">
        <v>3.4</v>
      </c>
      <c r="F558" s="3" t="s">
        <v>8</v>
      </c>
      <c r="G558" s="3">
        <v>21</v>
      </c>
      <c r="H558" s="3">
        <v>21</v>
      </c>
    </row>
    <row r="559" spans="1:9" ht="14" x14ac:dyDescent="0.3">
      <c r="A559" s="3">
        <f>IF(B558=1, MAX(A$7:A558)+1, A558)</f>
        <v>33</v>
      </c>
      <c r="B559" s="3">
        <v>6</v>
      </c>
      <c r="C559" s="11" t="s">
        <v>946</v>
      </c>
      <c r="D559" s="3">
        <v>0.7</v>
      </c>
      <c r="E559" s="3">
        <v>1.9</v>
      </c>
      <c r="F559" s="3" t="s">
        <v>17</v>
      </c>
      <c r="G559" s="3">
        <v>21</v>
      </c>
      <c r="H559" s="3">
        <v>21</v>
      </c>
    </row>
    <row r="560" spans="1:9" ht="14" x14ac:dyDescent="0.3">
      <c r="A560" s="3">
        <f>IF(B559=1, MAX(A$7:A559)+1, A559)</f>
        <v>33</v>
      </c>
      <c r="B560" s="3">
        <v>7</v>
      </c>
      <c r="C560" s="11" t="s">
        <v>947</v>
      </c>
      <c r="D560" s="3">
        <v>-0.05</v>
      </c>
      <c r="E560" s="3">
        <v>0.05</v>
      </c>
      <c r="F560" s="3" t="s">
        <v>8</v>
      </c>
      <c r="G560" s="3">
        <v>21</v>
      </c>
      <c r="H560" s="3">
        <v>21</v>
      </c>
    </row>
    <row r="561" spans="1:8" ht="14" x14ac:dyDescent="0.3">
      <c r="A561" s="3">
        <f>IF(B560=1, MAX(A$7:A560)+1, A560)</f>
        <v>33</v>
      </c>
      <c r="B561" s="3">
        <v>8</v>
      </c>
      <c r="C561" s="11" t="s">
        <v>146</v>
      </c>
      <c r="D561" s="3">
        <v>3.21</v>
      </c>
      <c r="E561" s="3">
        <v>3.3</v>
      </c>
      <c r="F561" s="3" t="s">
        <v>8</v>
      </c>
      <c r="G561" s="3">
        <v>21</v>
      </c>
      <c r="H561" s="3">
        <v>21</v>
      </c>
    </row>
    <row r="562" spans="1:8" ht="14" x14ac:dyDescent="0.3">
      <c r="A562" s="3">
        <f>IF(B561=1, MAX(A$7:A561)+1, A561)</f>
        <v>33</v>
      </c>
      <c r="B562" s="3">
        <v>9</v>
      </c>
      <c r="C562" s="11" t="s">
        <v>948</v>
      </c>
      <c r="D562" s="3">
        <v>1.7</v>
      </c>
      <c r="E562" s="3">
        <v>1.8</v>
      </c>
      <c r="F562" s="3" t="s">
        <v>8</v>
      </c>
      <c r="G562" s="3">
        <v>21</v>
      </c>
      <c r="H562" s="3">
        <v>21</v>
      </c>
    </row>
    <row r="563" spans="1:8" ht="14" x14ac:dyDescent="0.3">
      <c r="A563" s="3">
        <f>IF(B562=1, MAX(A$7:A562)+1, A562)</f>
        <v>33</v>
      </c>
      <c r="B563" s="3">
        <v>10</v>
      </c>
      <c r="C563" s="11" t="s">
        <v>150</v>
      </c>
      <c r="D563" s="3">
        <v>-0.1</v>
      </c>
      <c r="E563" s="3">
        <v>0.1</v>
      </c>
      <c r="F563" s="3" t="s">
        <v>18</v>
      </c>
      <c r="G563" s="3">
        <v>21</v>
      </c>
      <c r="H563" s="3">
        <v>21</v>
      </c>
    </row>
    <row r="564" spans="1:8" ht="14" x14ac:dyDescent="0.3">
      <c r="A564" s="3">
        <f>IF(B563=1, MAX(A$7:A563)+1, A563)</f>
        <v>33</v>
      </c>
      <c r="B564" s="3">
        <v>11</v>
      </c>
      <c r="C564" s="11" t="s">
        <v>153</v>
      </c>
      <c r="D564" s="3">
        <v>-0.1</v>
      </c>
      <c r="E564" s="3">
        <v>0.1</v>
      </c>
      <c r="F564" s="3" t="s">
        <v>18</v>
      </c>
      <c r="G564" s="3">
        <v>21</v>
      </c>
      <c r="H564" s="3">
        <v>21</v>
      </c>
    </row>
    <row r="565" spans="1:8" ht="14" x14ac:dyDescent="0.3">
      <c r="A565" s="3">
        <f>IF(B564=1, MAX(A$7:A564)+1, A564)</f>
        <v>33</v>
      </c>
      <c r="B565" s="3">
        <v>12</v>
      </c>
      <c r="C565" s="11" t="s">
        <v>949</v>
      </c>
      <c r="D565" s="3">
        <v>35</v>
      </c>
      <c r="E565" s="3">
        <v>39.799999999999997</v>
      </c>
      <c r="F565" s="3" t="s">
        <v>8</v>
      </c>
      <c r="G565" s="3">
        <v>21</v>
      </c>
      <c r="H565" s="3">
        <v>21</v>
      </c>
    </row>
    <row r="566" spans="1:8" ht="14" x14ac:dyDescent="0.3">
      <c r="A566" s="3">
        <f>IF(B565=1, MAX(A$7:A565)+1, A565)</f>
        <v>33</v>
      </c>
      <c r="B566" s="3">
        <v>13</v>
      </c>
      <c r="C566" s="11" t="s">
        <v>950</v>
      </c>
      <c r="D566" s="3">
        <v>8</v>
      </c>
      <c r="E566" s="3">
        <v>18</v>
      </c>
      <c r="F566" s="3" t="s">
        <v>18</v>
      </c>
      <c r="G566" s="3">
        <v>21</v>
      </c>
      <c r="H566" s="3">
        <v>21</v>
      </c>
    </row>
    <row r="567" spans="1:8" ht="14" x14ac:dyDescent="0.3">
      <c r="A567" s="3">
        <f>IF(B566=1, MAX(A$7:A566)+1, A566)</f>
        <v>33</v>
      </c>
      <c r="B567" s="3">
        <v>14</v>
      </c>
      <c r="C567" s="11" t="s">
        <v>951</v>
      </c>
      <c r="D567" s="3">
        <v>3.2</v>
      </c>
      <c r="E567" s="3">
        <v>3.4</v>
      </c>
      <c r="F567" s="3" t="s">
        <v>8</v>
      </c>
      <c r="G567" s="3">
        <v>21</v>
      </c>
      <c r="H567" s="3">
        <v>21</v>
      </c>
    </row>
    <row r="568" spans="1:8" ht="14" x14ac:dyDescent="0.3">
      <c r="A568" s="3">
        <f>IF(B567=1, MAX(A$7:A567)+1, A567)</f>
        <v>33</v>
      </c>
      <c r="B568" s="3">
        <v>15</v>
      </c>
      <c r="C568" s="11" t="s">
        <v>952</v>
      </c>
      <c r="D568" s="3">
        <v>3.2</v>
      </c>
      <c r="E568" s="3">
        <v>3.4</v>
      </c>
      <c r="F568" s="3" t="s">
        <v>8</v>
      </c>
      <c r="G568" s="3">
        <v>21</v>
      </c>
      <c r="H568" s="3">
        <v>21</v>
      </c>
    </row>
    <row r="569" spans="1:8" ht="14" x14ac:dyDescent="0.3">
      <c r="A569" s="3">
        <f>IF(B568=1, MAX(A$7:A568)+1, A568)</f>
        <v>33</v>
      </c>
      <c r="B569" s="3">
        <v>16</v>
      </c>
      <c r="C569" s="11" t="s">
        <v>953</v>
      </c>
      <c r="D569" s="3">
        <v>3.2</v>
      </c>
      <c r="E569" s="3">
        <v>3.4</v>
      </c>
      <c r="F569" s="3" t="s">
        <v>8</v>
      </c>
      <c r="G569" s="3">
        <v>21</v>
      </c>
      <c r="H569" s="3">
        <v>21</v>
      </c>
    </row>
    <row r="570" spans="1:8" ht="14" x14ac:dyDescent="0.3">
      <c r="A570" s="3">
        <f>IF(B569=1, MAX(A$7:A569)+1, A569)</f>
        <v>33</v>
      </c>
      <c r="B570" s="3">
        <v>17</v>
      </c>
      <c r="C570" s="11" t="s">
        <v>954</v>
      </c>
      <c r="D570" s="3">
        <v>0.7</v>
      </c>
      <c r="E570" s="3">
        <v>1.9</v>
      </c>
      <c r="F570" s="3" t="s">
        <v>17</v>
      </c>
      <c r="G570" s="3">
        <v>21</v>
      </c>
      <c r="H570" s="3">
        <v>21</v>
      </c>
    </row>
    <row r="571" spans="1:8" ht="14" x14ac:dyDescent="0.3">
      <c r="A571" s="3">
        <f>IF(B570=1, MAX(A$7:A570)+1, A570)</f>
        <v>33</v>
      </c>
      <c r="B571" s="3">
        <v>18</v>
      </c>
      <c r="C571" s="11" t="s">
        <v>135</v>
      </c>
      <c r="D571" s="3">
        <v>-0.05</v>
      </c>
      <c r="E571" s="3">
        <v>0.05</v>
      </c>
      <c r="F571" s="3" t="s">
        <v>8</v>
      </c>
      <c r="G571" s="3">
        <v>21</v>
      </c>
      <c r="H571" s="3">
        <v>21</v>
      </c>
    </row>
    <row r="572" spans="1:8" ht="14" x14ac:dyDescent="0.3">
      <c r="A572" s="3">
        <f>IF(B571=1, MAX(A$7:A571)+1, A571)</f>
        <v>33</v>
      </c>
      <c r="B572" s="3">
        <v>19</v>
      </c>
      <c r="C572" s="11" t="s">
        <v>955</v>
      </c>
      <c r="D572" s="3">
        <v>3.21</v>
      </c>
      <c r="E572" s="3">
        <v>3.3</v>
      </c>
      <c r="F572" s="3" t="s">
        <v>8</v>
      </c>
      <c r="G572" s="3">
        <v>21</v>
      </c>
      <c r="H572" s="3">
        <v>21</v>
      </c>
    </row>
    <row r="573" spans="1:8" ht="14" x14ac:dyDescent="0.3">
      <c r="A573" s="3">
        <f>IF(B572=1, MAX(A$7:A572)+1, A572)</f>
        <v>33</v>
      </c>
      <c r="B573" s="3">
        <v>20</v>
      </c>
      <c r="C573" s="11" t="s">
        <v>956</v>
      </c>
      <c r="D573" s="3">
        <v>1.7</v>
      </c>
      <c r="E573" s="3">
        <v>1.8</v>
      </c>
      <c r="F573" s="3" t="s">
        <v>8</v>
      </c>
      <c r="G573" s="3">
        <v>21</v>
      </c>
      <c r="H573" s="3">
        <v>21</v>
      </c>
    </row>
    <row r="574" spans="1:8" ht="14" x14ac:dyDescent="0.3">
      <c r="A574" s="3">
        <f>IF(B573=1, MAX(A$7:A573)+1, A573)</f>
        <v>33</v>
      </c>
      <c r="B574" s="3">
        <v>21</v>
      </c>
      <c r="C574" s="11" t="s">
        <v>957</v>
      </c>
      <c r="D574" s="3">
        <v>-0.1</v>
      </c>
      <c r="E574" s="3">
        <v>0.1</v>
      </c>
      <c r="F574" s="3" t="s">
        <v>18</v>
      </c>
      <c r="G574" s="3">
        <v>21</v>
      </c>
      <c r="H574" s="3">
        <v>21</v>
      </c>
    </row>
    <row r="575" spans="1:8" ht="14" x14ac:dyDescent="0.3">
      <c r="A575" s="3">
        <f>IF(B574=1, MAX(A$7:A574)+1, A574)</f>
        <v>33</v>
      </c>
      <c r="B575" s="3">
        <v>22</v>
      </c>
      <c r="C575" s="11" t="s">
        <v>958</v>
      </c>
      <c r="D575" s="3">
        <v>-0.1</v>
      </c>
      <c r="E575" s="3">
        <v>0.1</v>
      </c>
      <c r="F575" s="3" t="s">
        <v>18</v>
      </c>
      <c r="G575" s="3">
        <v>21</v>
      </c>
      <c r="H575" s="3">
        <v>21</v>
      </c>
    </row>
    <row r="576" spans="1:8" ht="14" x14ac:dyDescent="0.3">
      <c r="A576" s="3">
        <f>IF(B575=1, MAX(A$7:A575)+1, A575)</f>
        <v>33</v>
      </c>
      <c r="B576" s="3">
        <v>1</v>
      </c>
      <c r="C576" s="11" t="s">
        <v>959</v>
      </c>
      <c r="D576" s="3">
        <v>5.67</v>
      </c>
      <c r="E576" s="3">
        <v>5.98</v>
      </c>
      <c r="F576" s="3" t="s">
        <v>8</v>
      </c>
      <c r="G576" s="3">
        <v>22</v>
      </c>
      <c r="H576" s="3">
        <v>22</v>
      </c>
    </row>
    <row r="577" spans="1:8" ht="14" x14ac:dyDescent="0.3">
      <c r="A577" s="3">
        <f>IF(B576=1, MAX(A$7:A576)+1, A576)</f>
        <v>34</v>
      </c>
      <c r="B577" s="3">
        <v>2</v>
      </c>
      <c r="C577" s="11" t="s">
        <v>960</v>
      </c>
      <c r="D577" s="3">
        <v>5.42</v>
      </c>
      <c r="E577" s="3">
        <v>5.73</v>
      </c>
      <c r="F577" s="3" t="s">
        <v>8</v>
      </c>
      <c r="G577" s="3">
        <v>22</v>
      </c>
      <c r="H577" s="3">
        <v>22</v>
      </c>
    </row>
    <row r="578" spans="1:8" ht="14" x14ac:dyDescent="0.3">
      <c r="A578" s="3">
        <f>IF(B577=1, MAX(A$7:A577)+1, A577)</f>
        <v>34</v>
      </c>
      <c r="B578" s="3">
        <v>3</v>
      </c>
      <c r="C578" s="11" t="s">
        <v>961</v>
      </c>
      <c r="D578" s="3">
        <v>0.1</v>
      </c>
      <c r="E578" s="3">
        <v>0.5</v>
      </c>
      <c r="F578" s="3" t="s">
        <v>8</v>
      </c>
      <c r="G578" s="3">
        <v>22</v>
      </c>
      <c r="H578" s="3">
        <v>22</v>
      </c>
    </row>
    <row r="579" spans="1:8" ht="14" x14ac:dyDescent="0.3">
      <c r="A579" s="3">
        <f>IF(B578=1, MAX(A$7:A578)+1, A578)</f>
        <v>34</v>
      </c>
      <c r="B579" s="3">
        <v>4</v>
      </c>
      <c r="C579" s="11" t="s">
        <v>962</v>
      </c>
      <c r="D579" s="3">
        <v>5.67</v>
      </c>
      <c r="E579" s="3">
        <v>5.98</v>
      </c>
      <c r="F579" s="3" t="s">
        <v>8</v>
      </c>
      <c r="G579" s="3">
        <v>22</v>
      </c>
      <c r="H579" s="3">
        <v>22</v>
      </c>
    </row>
    <row r="580" spans="1:8" ht="14" x14ac:dyDescent="0.3">
      <c r="A580" s="3">
        <f>IF(B579=1, MAX(A$7:A579)+1, A579)</f>
        <v>34</v>
      </c>
      <c r="B580" s="3">
        <v>5</v>
      </c>
      <c r="C580" s="11" t="s">
        <v>963</v>
      </c>
      <c r="D580" s="3">
        <v>5.42</v>
      </c>
      <c r="E580" s="3">
        <v>5.73</v>
      </c>
      <c r="F580" s="3" t="s">
        <v>8</v>
      </c>
      <c r="G580" s="3">
        <v>22</v>
      </c>
      <c r="H580" s="3">
        <v>22</v>
      </c>
    </row>
    <row r="581" spans="1:8" ht="14" x14ac:dyDescent="0.3">
      <c r="A581" s="3">
        <f>IF(B580=1, MAX(A$7:A580)+1, A580)</f>
        <v>34</v>
      </c>
      <c r="B581" s="3">
        <v>6</v>
      </c>
      <c r="C581" s="11" t="s">
        <v>964</v>
      </c>
      <c r="D581" s="3">
        <v>0.1</v>
      </c>
      <c r="E581" s="3">
        <v>0.5</v>
      </c>
      <c r="F581" s="3" t="s">
        <v>8</v>
      </c>
      <c r="G581" s="3">
        <v>22</v>
      </c>
      <c r="H581" s="3">
        <v>22</v>
      </c>
    </row>
    <row r="582" spans="1:8" ht="14" x14ac:dyDescent="0.3">
      <c r="A582" s="3">
        <f>IF(B581=1, MAX(A$7:A581)+1, A581)</f>
        <v>34</v>
      </c>
      <c r="B582" s="3">
        <v>7</v>
      </c>
      <c r="C582" s="11" t="s">
        <v>965</v>
      </c>
      <c r="D582" s="3">
        <v>5.67</v>
      </c>
      <c r="E582" s="3">
        <v>5.98</v>
      </c>
      <c r="F582" s="3" t="s">
        <v>8</v>
      </c>
      <c r="G582" s="3">
        <v>22</v>
      </c>
      <c r="H582" s="3">
        <v>22</v>
      </c>
    </row>
    <row r="583" spans="1:8" ht="14" x14ac:dyDescent="0.3">
      <c r="A583" s="3">
        <f>IF(B582=1, MAX(A$7:A582)+1, A582)</f>
        <v>34</v>
      </c>
      <c r="B583" s="3">
        <v>8</v>
      </c>
      <c r="C583" s="11" t="s">
        <v>966</v>
      </c>
      <c r="D583" s="3">
        <v>5.42</v>
      </c>
      <c r="E583" s="3">
        <v>5.73</v>
      </c>
      <c r="F583" s="3" t="s">
        <v>8</v>
      </c>
      <c r="G583" s="3">
        <v>22</v>
      </c>
      <c r="H583" s="3">
        <v>22</v>
      </c>
    </row>
    <row r="584" spans="1:8" ht="14" x14ac:dyDescent="0.3">
      <c r="A584" s="3">
        <f>IF(B583=1, MAX(A$7:A583)+1, A583)</f>
        <v>34</v>
      </c>
      <c r="B584" s="3">
        <v>9</v>
      </c>
      <c r="C584" s="11" t="s">
        <v>967</v>
      </c>
      <c r="D584" s="3">
        <v>0.1</v>
      </c>
      <c r="E584" s="3">
        <v>0.5</v>
      </c>
      <c r="F584" s="3" t="s">
        <v>8</v>
      </c>
      <c r="G584" s="3">
        <v>22</v>
      </c>
      <c r="H584" s="3">
        <v>22</v>
      </c>
    </row>
    <row r="585" spans="1:8" ht="14" x14ac:dyDescent="0.3">
      <c r="A585" s="3">
        <f>IF(B584=1, MAX(A$7:A584)+1, A584)</f>
        <v>34</v>
      </c>
      <c r="B585" s="3">
        <v>10</v>
      </c>
      <c r="C585" s="11" t="s">
        <v>968</v>
      </c>
      <c r="D585" s="3">
        <v>5.67</v>
      </c>
      <c r="E585" s="3">
        <v>5.98</v>
      </c>
      <c r="F585" s="3" t="s">
        <v>8</v>
      </c>
      <c r="G585" s="3">
        <v>22</v>
      </c>
      <c r="H585" s="3">
        <v>22</v>
      </c>
    </row>
    <row r="586" spans="1:8" ht="14" x14ac:dyDescent="0.3">
      <c r="A586" s="3">
        <f>IF(B585=1, MAX(A$7:A585)+1, A585)</f>
        <v>34</v>
      </c>
      <c r="B586" s="3">
        <v>11</v>
      </c>
      <c r="C586" s="11" t="s">
        <v>969</v>
      </c>
      <c r="D586" s="3">
        <v>5.42</v>
      </c>
      <c r="E586" s="3">
        <v>5.73</v>
      </c>
      <c r="F586" s="3" t="s">
        <v>8</v>
      </c>
      <c r="G586" s="3">
        <v>22</v>
      </c>
      <c r="H586" s="3">
        <v>22</v>
      </c>
    </row>
    <row r="587" spans="1:8" ht="14" x14ac:dyDescent="0.3">
      <c r="A587" s="3">
        <f>IF(B586=1, MAX(A$7:A586)+1, A586)</f>
        <v>34</v>
      </c>
      <c r="B587" s="3">
        <v>12</v>
      </c>
      <c r="C587" s="11" t="s">
        <v>970</v>
      </c>
      <c r="D587" s="3">
        <v>0.1</v>
      </c>
      <c r="E587" s="3">
        <v>0.5</v>
      </c>
      <c r="F587" s="3" t="s">
        <v>8</v>
      </c>
      <c r="G587" s="3">
        <v>22</v>
      </c>
      <c r="H587" s="3">
        <v>22</v>
      </c>
    </row>
    <row r="588" spans="1:8" ht="14" x14ac:dyDescent="0.3">
      <c r="A588" s="3">
        <f>IF(B587=1, MAX(A$7:A587)+1, A587)</f>
        <v>34</v>
      </c>
      <c r="B588" s="3">
        <v>13</v>
      </c>
      <c r="C588" s="11" t="s">
        <v>224</v>
      </c>
      <c r="D588" s="3">
        <v>5.86</v>
      </c>
      <c r="E588" s="3">
        <v>6.19</v>
      </c>
      <c r="F588" s="3" t="s">
        <v>8</v>
      </c>
      <c r="G588" s="3">
        <v>22</v>
      </c>
      <c r="H588" s="3">
        <v>22</v>
      </c>
    </row>
    <row r="589" spans="1:8" ht="14" x14ac:dyDescent="0.3">
      <c r="A589" s="3">
        <f>IF(B588=1, MAX(A$7:A588)+1, A588)</f>
        <v>34</v>
      </c>
      <c r="B589" s="3">
        <v>14</v>
      </c>
      <c r="C589" s="11" t="s">
        <v>971</v>
      </c>
      <c r="D589" s="3">
        <v>5.61</v>
      </c>
      <c r="E589" s="3">
        <v>5.94</v>
      </c>
      <c r="F589" s="3" t="s">
        <v>8</v>
      </c>
      <c r="G589" s="3">
        <v>22</v>
      </c>
      <c r="H589" s="3">
        <v>22</v>
      </c>
    </row>
    <row r="590" spans="1:8" ht="14" x14ac:dyDescent="0.3">
      <c r="A590" s="3">
        <f>IF(B589=1, MAX(A$7:A589)+1, A589)</f>
        <v>34</v>
      </c>
      <c r="B590" s="3">
        <v>15</v>
      </c>
      <c r="C590" s="11" t="s">
        <v>227</v>
      </c>
      <c r="D590" s="3">
        <v>0.1</v>
      </c>
      <c r="E590" s="3">
        <v>0.5</v>
      </c>
      <c r="F590" s="3" t="s">
        <v>8</v>
      </c>
      <c r="G590" s="3">
        <v>22</v>
      </c>
      <c r="H590" s="3">
        <v>22</v>
      </c>
    </row>
    <row r="591" spans="1:8" ht="14" x14ac:dyDescent="0.3">
      <c r="A591" s="3">
        <f>IF(B590=1, MAX(A$7:A590)+1, A590)</f>
        <v>34</v>
      </c>
      <c r="B591" s="3">
        <v>16</v>
      </c>
      <c r="C591" s="11" t="s">
        <v>972</v>
      </c>
      <c r="D591" s="3">
        <v>5.86</v>
      </c>
      <c r="E591" s="3">
        <v>6.19</v>
      </c>
      <c r="F591" s="3" t="s">
        <v>8</v>
      </c>
      <c r="G591" s="3">
        <v>22</v>
      </c>
      <c r="H591" s="3">
        <v>22</v>
      </c>
    </row>
    <row r="592" spans="1:8" ht="14" x14ac:dyDescent="0.3">
      <c r="A592" s="3">
        <f>IF(B591=1, MAX(A$7:A591)+1, A591)</f>
        <v>34</v>
      </c>
      <c r="B592" s="3">
        <v>17</v>
      </c>
      <c r="C592" s="11" t="s">
        <v>973</v>
      </c>
      <c r="D592" s="3">
        <v>5.61</v>
      </c>
      <c r="E592" s="3">
        <v>5.94</v>
      </c>
      <c r="F592" s="3" t="s">
        <v>8</v>
      </c>
      <c r="G592" s="3">
        <v>22</v>
      </c>
      <c r="H592" s="3">
        <v>22</v>
      </c>
    </row>
    <row r="593" spans="1:8" ht="14" x14ac:dyDescent="0.3">
      <c r="A593" s="3">
        <f>IF(B592=1, MAX(A$7:A592)+1, A592)</f>
        <v>34</v>
      </c>
      <c r="B593" s="3">
        <v>18</v>
      </c>
      <c r="C593" s="11" t="s">
        <v>974</v>
      </c>
      <c r="D593" s="3">
        <v>0.1</v>
      </c>
      <c r="E593" s="3">
        <v>0.5</v>
      </c>
      <c r="F593" s="3" t="s">
        <v>8</v>
      </c>
      <c r="G593" s="3">
        <v>22</v>
      </c>
      <c r="H593" s="3">
        <v>22</v>
      </c>
    </row>
    <row r="594" spans="1:8" ht="14" x14ac:dyDescent="0.3">
      <c r="A594" s="3">
        <f>IF(B593=1, MAX(A$7:A593)+1, A593)</f>
        <v>34</v>
      </c>
      <c r="B594" s="3">
        <v>19</v>
      </c>
      <c r="C594" s="11" t="s">
        <v>975</v>
      </c>
      <c r="D594" s="3">
        <v>5.86</v>
      </c>
      <c r="E594" s="3">
        <v>6.19</v>
      </c>
      <c r="F594" s="3" t="s">
        <v>8</v>
      </c>
      <c r="G594" s="3">
        <v>22</v>
      </c>
      <c r="H594" s="3">
        <v>22</v>
      </c>
    </row>
    <row r="595" spans="1:8" ht="14" x14ac:dyDescent="0.3">
      <c r="A595" s="3">
        <f>IF(B594=1, MAX(A$7:A594)+1, A594)</f>
        <v>34</v>
      </c>
      <c r="B595" s="3">
        <v>20</v>
      </c>
      <c r="C595" s="11" t="s">
        <v>976</v>
      </c>
      <c r="D595" s="3">
        <v>5.61</v>
      </c>
      <c r="E595" s="3">
        <v>5.94</v>
      </c>
      <c r="F595" s="3" t="s">
        <v>8</v>
      </c>
      <c r="G595" s="3">
        <v>22</v>
      </c>
      <c r="H595" s="3">
        <v>22</v>
      </c>
    </row>
    <row r="596" spans="1:8" ht="14" x14ac:dyDescent="0.3">
      <c r="A596" s="3">
        <f>IF(B595=1, MAX(A$7:A595)+1, A595)</f>
        <v>34</v>
      </c>
      <c r="B596" s="3">
        <v>21</v>
      </c>
      <c r="C596" s="11" t="s">
        <v>977</v>
      </c>
      <c r="D596" s="3">
        <v>0.1</v>
      </c>
      <c r="E596" s="3">
        <v>0.5</v>
      </c>
      <c r="F596" s="3" t="s">
        <v>8</v>
      </c>
      <c r="G596" s="3">
        <v>22</v>
      </c>
      <c r="H596" s="3">
        <v>22</v>
      </c>
    </row>
    <row r="597" spans="1:8" ht="14" x14ac:dyDescent="0.3">
      <c r="A597" s="3">
        <f>IF(B596=1, MAX(A$7:A596)+1, A596)</f>
        <v>34</v>
      </c>
      <c r="B597" s="3">
        <v>22</v>
      </c>
      <c r="C597" s="11" t="s">
        <v>978</v>
      </c>
      <c r="D597" s="3">
        <v>5.86</v>
      </c>
      <c r="E597" s="3">
        <v>6.19</v>
      </c>
      <c r="F597" s="3" t="s">
        <v>8</v>
      </c>
      <c r="G597" s="3">
        <v>22</v>
      </c>
      <c r="H597" s="3">
        <v>22</v>
      </c>
    </row>
    <row r="598" spans="1:8" ht="14" x14ac:dyDescent="0.3">
      <c r="A598" s="3">
        <f>IF(B597=1, MAX(A$7:A597)+1, A597)</f>
        <v>34</v>
      </c>
      <c r="B598" s="3">
        <v>23</v>
      </c>
      <c r="C598" s="11" t="s">
        <v>979</v>
      </c>
      <c r="D598" s="3">
        <v>5.61</v>
      </c>
      <c r="E598" s="3">
        <v>5.94</v>
      </c>
      <c r="F598" s="3" t="s">
        <v>8</v>
      </c>
      <c r="G598" s="3">
        <v>22</v>
      </c>
      <c r="H598" s="3">
        <v>22</v>
      </c>
    </row>
    <row r="599" spans="1:8" ht="14" x14ac:dyDescent="0.3">
      <c r="A599" s="3">
        <f>IF(B598=1, MAX(A$7:A598)+1, A598)</f>
        <v>34</v>
      </c>
      <c r="B599" s="3">
        <v>24</v>
      </c>
      <c r="C599" s="11" t="s">
        <v>980</v>
      </c>
      <c r="D599" s="3">
        <v>0.1</v>
      </c>
      <c r="E599" s="3">
        <v>0.5</v>
      </c>
      <c r="F599" s="3" t="s">
        <v>8</v>
      </c>
      <c r="G599" s="3">
        <v>22</v>
      </c>
      <c r="H599" s="3">
        <v>22</v>
      </c>
    </row>
    <row r="600" spans="1:8" ht="14" x14ac:dyDescent="0.3">
      <c r="A600" s="3">
        <f>IF(B599=1, MAX(A$7:A599)+1, A599)</f>
        <v>34</v>
      </c>
      <c r="B600" s="3">
        <v>1</v>
      </c>
      <c r="C600" s="11" t="s">
        <v>231</v>
      </c>
      <c r="D600" s="3">
        <v>1</v>
      </c>
      <c r="E600" s="3">
        <v>8</v>
      </c>
      <c r="F600" s="3" t="s">
        <v>18</v>
      </c>
      <c r="G600" s="3">
        <v>23</v>
      </c>
      <c r="H600" s="3">
        <v>23</v>
      </c>
    </row>
    <row r="601" spans="1:8" ht="14" x14ac:dyDescent="0.3">
      <c r="A601" s="3">
        <f>IF(B600=1, MAX(A$7:A600)+1, A600)</f>
        <v>35</v>
      </c>
      <c r="B601" s="3">
        <v>2</v>
      </c>
      <c r="C601" s="11" t="s">
        <v>981</v>
      </c>
      <c r="D601" s="3">
        <v>1</v>
      </c>
      <c r="E601" s="3">
        <v>8</v>
      </c>
      <c r="F601" s="3" t="s">
        <v>18</v>
      </c>
      <c r="G601" s="3">
        <v>23</v>
      </c>
      <c r="H601" s="3">
        <v>23</v>
      </c>
    </row>
    <row r="602" spans="1:8" ht="14" x14ac:dyDescent="0.3">
      <c r="A602" s="3">
        <f>IF(B601=1, MAX(A$7:A601)+1, A601)</f>
        <v>35</v>
      </c>
      <c r="B602" s="3">
        <v>3</v>
      </c>
      <c r="C602" s="11" t="s">
        <v>982</v>
      </c>
      <c r="D602" s="3">
        <v>1</v>
      </c>
      <c r="E602" s="3">
        <v>8</v>
      </c>
      <c r="F602" s="3" t="s">
        <v>18</v>
      </c>
      <c r="G602" s="3">
        <v>23</v>
      </c>
      <c r="H602" s="3">
        <v>23</v>
      </c>
    </row>
    <row r="603" spans="1:8" ht="14" x14ac:dyDescent="0.3">
      <c r="A603" s="3">
        <f>IF(B602=1, MAX(A$7:A602)+1, A602)</f>
        <v>35</v>
      </c>
      <c r="B603" s="3">
        <v>4</v>
      </c>
      <c r="C603" s="11" t="s">
        <v>983</v>
      </c>
      <c r="D603" s="3">
        <v>1</v>
      </c>
      <c r="E603" s="3">
        <v>8</v>
      </c>
      <c r="F603" s="3" t="s">
        <v>18</v>
      </c>
      <c r="G603" s="3">
        <v>23</v>
      </c>
      <c r="H603" s="3">
        <v>23</v>
      </c>
    </row>
    <row r="604" spans="1:8" ht="14" x14ac:dyDescent="0.3">
      <c r="A604" s="3">
        <f>IF(B603=1, MAX(A$7:A603)+1, A603)</f>
        <v>35</v>
      </c>
      <c r="B604" s="3">
        <v>5</v>
      </c>
      <c r="C604" s="11" t="s">
        <v>236</v>
      </c>
      <c r="D604" s="3">
        <v>35</v>
      </c>
      <c r="E604" s="3">
        <v>55</v>
      </c>
      <c r="F604" s="3" t="s">
        <v>42</v>
      </c>
      <c r="G604" s="3">
        <v>23</v>
      </c>
      <c r="H604" s="3">
        <v>23</v>
      </c>
    </row>
    <row r="605" spans="1:8" ht="14" x14ac:dyDescent="0.3">
      <c r="A605" s="3">
        <f>IF(B604=1, MAX(A$7:A604)+1, A604)</f>
        <v>35</v>
      </c>
      <c r="B605" s="3">
        <v>6</v>
      </c>
      <c r="C605" s="11" t="s">
        <v>984</v>
      </c>
      <c r="D605" s="3">
        <v>35</v>
      </c>
      <c r="E605" s="3">
        <v>55</v>
      </c>
      <c r="F605" s="3" t="s">
        <v>42</v>
      </c>
      <c r="G605" s="3">
        <v>23</v>
      </c>
      <c r="H605" s="3">
        <v>23</v>
      </c>
    </row>
    <row r="606" spans="1:8" ht="14" x14ac:dyDescent="0.3">
      <c r="A606" s="3">
        <f>IF(B605=1, MAX(A$7:A605)+1, A605)</f>
        <v>35</v>
      </c>
      <c r="B606" s="3">
        <v>7</v>
      </c>
      <c r="C606" s="11" t="s">
        <v>985</v>
      </c>
      <c r="D606" s="3">
        <v>35</v>
      </c>
      <c r="E606" s="3">
        <v>55</v>
      </c>
      <c r="F606" s="3" t="s">
        <v>42</v>
      </c>
      <c r="G606" s="3">
        <v>23</v>
      </c>
      <c r="H606" s="3">
        <v>23</v>
      </c>
    </row>
    <row r="607" spans="1:8" ht="14" x14ac:dyDescent="0.3">
      <c r="A607" s="3">
        <f>IF(B606=1, MAX(A$7:A606)+1, A606)</f>
        <v>35</v>
      </c>
      <c r="B607" s="3">
        <v>8</v>
      </c>
      <c r="C607" s="11" t="s">
        <v>986</v>
      </c>
      <c r="D607" s="3">
        <v>35</v>
      </c>
      <c r="E607" s="3">
        <v>55</v>
      </c>
      <c r="F607" s="3" t="s">
        <v>42</v>
      </c>
      <c r="G607" s="3">
        <v>23</v>
      </c>
      <c r="H607" s="3">
        <v>23</v>
      </c>
    </row>
    <row r="608" spans="1:8" ht="14" x14ac:dyDescent="0.3">
      <c r="A608" s="3">
        <f>IF(B607=1, MAX(A$7:A607)+1, A607)</f>
        <v>35</v>
      </c>
      <c r="B608" s="3">
        <v>9</v>
      </c>
      <c r="C608" s="11" t="s">
        <v>221</v>
      </c>
      <c r="D608" s="3">
        <v>1.5</v>
      </c>
      <c r="E608" s="3">
        <v>7</v>
      </c>
      <c r="F608" s="3" t="s">
        <v>42</v>
      </c>
      <c r="G608" s="3">
        <v>23</v>
      </c>
      <c r="H608" s="3">
        <v>23</v>
      </c>
    </row>
    <row r="609" spans="1:8" ht="14" x14ac:dyDescent="0.3">
      <c r="A609" s="3">
        <f>IF(B608=1, MAX(A$7:A608)+1, A608)</f>
        <v>35</v>
      </c>
      <c r="B609" s="3">
        <v>10</v>
      </c>
      <c r="C609" s="11" t="s">
        <v>987</v>
      </c>
      <c r="D609" s="3">
        <v>1.5</v>
      </c>
      <c r="E609" s="3">
        <v>7</v>
      </c>
      <c r="F609" s="3" t="s">
        <v>42</v>
      </c>
      <c r="G609" s="3">
        <v>23</v>
      </c>
      <c r="H609" s="3">
        <v>23</v>
      </c>
    </row>
    <row r="610" spans="1:8" ht="14" x14ac:dyDescent="0.3">
      <c r="A610" s="3">
        <f>IF(B609=1, MAX(A$7:A609)+1, A609)</f>
        <v>35</v>
      </c>
      <c r="B610" s="3">
        <v>11</v>
      </c>
      <c r="C610" s="11" t="s">
        <v>988</v>
      </c>
      <c r="D610" s="3">
        <v>1.5</v>
      </c>
      <c r="E610" s="3">
        <v>7</v>
      </c>
      <c r="F610" s="3" t="s">
        <v>42</v>
      </c>
      <c r="G610" s="3">
        <v>23</v>
      </c>
      <c r="H610" s="3">
        <v>23</v>
      </c>
    </row>
    <row r="611" spans="1:8" ht="14" x14ac:dyDescent="0.3">
      <c r="A611" s="3">
        <f>IF(B610=1, MAX(A$7:A610)+1, A610)</f>
        <v>35</v>
      </c>
      <c r="B611" s="3">
        <v>12</v>
      </c>
      <c r="C611" s="11" t="s">
        <v>989</v>
      </c>
      <c r="D611" s="3">
        <v>1.5</v>
      </c>
      <c r="E611" s="3">
        <v>7</v>
      </c>
      <c r="F611" s="3" t="s">
        <v>42</v>
      </c>
      <c r="G611" s="3">
        <v>23</v>
      </c>
      <c r="H611" s="3">
        <v>23</v>
      </c>
    </row>
    <row r="612" spans="1:8" ht="14" x14ac:dyDescent="0.3">
      <c r="A612" s="3">
        <f>IF(B611=1, MAX(A$7:A611)+1, A611)</f>
        <v>35</v>
      </c>
      <c r="B612" s="3">
        <v>13</v>
      </c>
      <c r="C612" s="11" t="s">
        <v>990</v>
      </c>
      <c r="D612" s="3">
        <v>0.35</v>
      </c>
      <c r="E612" s="3">
        <v>0.75</v>
      </c>
      <c r="F612" s="3" t="s">
        <v>42</v>
      </c>
      <c r="G612" s="3">
        <v>24</v>
      </c>
      <c r="H612" s="3">
        <v>24</v>
      </c>
    </row>
    <row r="613" spans="1:8" ht="14" x14ac:dyDescent="0.3">
      <c r="A613" s="3">
        <f>IF(B612=1, MAX(A$7:A612)+1, A612)</f>
        <v>35</v>
      </c>
      <c r="B613" s="3">
        <v>14</v>
      </c>
      <c r="C613" s="11" t="s">
        <v>991</v>
      </c>
      <c r="D613" s="3">
        <v>0.35</v>
      </c>
      <c r="E613" s="3">
        <v>0.75</v>
      </c>
      <c r="F613" s="3" t="s">
        <v>42</v>
      </c>
      <c r="G613" s="3">
        <v>24</v>
      </c>
      <c r="H613" s="3">
        <v>24</v>
      </c>
    </row>
    <row r="614" spans="1:8" ht="14" x14ac:dyDescent="0.3">
      <c r="A614" s="3">
        <f>IF(B613=1, MAX(A$7:A613)+1, A613)</f>
        <v>35</v>
      </c>
      <c r="B614" s="3">
        <v>15</v>
      </c>
      <c r="C614" s="11" t="s">
        <v>992</v>
      </c>
      <c r="D614" s="3">
        <v>0.35</v>
      </c>
      <c r="E614" s="3">
        <v>0.75</v>
      </c>
      <c r="F614" s="3" t="s">
        <v>42</v>
      </c>
      <c r="G614" s="3">
        <v>24</v>
      </c>
      <c r="H614" s="3">
        <v>24</v>
      </c>
    </row>
    <row r="615" spans="1:8" ht="14" x14ac:dyDescent="0.3">
      <c r="A615" s="3">
        <f>IF(B614=1, MAX(A$7:A614)+1, A614)</f>
        <v>35</v>
      </c>
      <c r="B615" s="3">
        <v>16</v>
      </c>
      <c r="C615" s="11" t="s">
        <v>993</v>
      </c>
      <c r="D615" s="3">
        <v>0.35</v>
      </c>
      <c r="E615" s="3">
        <v>0.75</v>
      </c>
      <c r="F615" s="3" t="s">
        <v>42</v>
      </c>
      <c r="G615" s="3">
        <v>24</v>
      </c>
      <c r="H615" s="3">
        <v>24</v>
      </c>
    </row>
    <row r="616" spans="1:8" ht="14" x14ac:dyDescent="0.3">
      <c r="A616" s="3">
        <f>IF(B615=1, MAX(A$7:A615)+1, A615)</f>
        <v>35</v>
      </c>
      <c r="B616" s="3">
        <v>1</v>
      </c>
      <c r="C616" s="11" t="s">
        <v>267</v>
      </c>
      <c r="D616" s="3">
        <v>30</v>
      </c>
      <c r="E616" s="3">
        <v>64</v>
      </c>
      <c r="F616" s="3" t="s">
        <v>42</v>
      </c>
      <c r="G616" s="3">
        <v>24</v>
      </c>
      <c r="H616" s="3">
        <v>24</v>
      </c>
    </row>
    <row r="617" spans="1:8" ht="14" x14ac:dyDescent="0.3">
      <c r="A617" s="3">
        <f>IF(B616=1, MAX(A$7:A616)+1, A616)</f>
        <v>36</v>
      </c>
      <c r="B617" s="3">
        <v>2</v>
      </c>
      <c r="C617" s="11" t="s">
        <v>994</v>
      </c>
      <c r="D617" s="3">
        <v>30</v>
      </c>
      <c r="E617" s="3">
        <v>64</v>
      </c>
      <c r="F617" s="3" t="s">
        <v>42</v>
      </c>
      <c r="G617" s="3">
        <v>24</v>
      </c>
      <c r="H617" s="3">
        <v>24</v>
      </c>
    </row>
    <row r="618" spans="1:8" ht="14" x14ac:dyDescent="0.3">
      <c r="A618" s="3">
        <f>IF(B617=1, MAX(A$7:A617)+1, A617)</f>
        <v>36</v>
      </c>
      <c r="B618" s="3">
        <v>3</v>
      </c>
      <c r="C618" s="11" t="s">
        <v>995</v>
      </c>
      <c r="D618" s="3">
        <v>30</v>
      </c>
      <c r="E618" s="3">
        <v>64</v>
      </c>
      <c r="F618" s="3" t="s">
        <v>42</v>
      </c>
      <c r="G618" s="3">
        <v>24</v>
      </c>
      <c r="H618" s="3">
        <v>24</v>
      </c>
    </row>
    <row r="619" spans="1:8" ht="14" x14ac:dyDescent="0.3">
      <c r="A619" s="3">
        <f>IF(B618=1, MAX(A$7:A618)+1, A618)</f>
        <v>36</v>
      </c>
      <c r="B619" s="3">
        <v>4</v>
      </c>
      <c r="C619" s="11" t="s">
        <v>996</v>
      </c>
      <c r="D619" s="3">
        <v>30</v>
      </c>
      <c r="E619" s="3">
        <v>64</v>
      </c>
      <c r="F619" s="3" t="s">
        <v>42</v>
      </c>
      <c r="G619" s="3">
        <v>24</v>
      </c>
      <c r="H619" s="3">
        <v>24</v>
      </c>
    </row>
    <row r="620" spans="1:8" ht="14" x14ac:dyDescent="0.3">
      <c r="A620" s="3">
        <f>IF(B619=1, MAX(A$7:A619)+1, A619)</f>
        <v>36</v>
      </c>
      <c r="B620" s="3">
        <v>5</v>
      </c>
      <c r="C620" s="11" t="s">
        <v>255</v>
      </c>
      <c r="D620" s="3">
        <v>5</v>
      </c>
      <c r="E620" s="3">
        <v>14</v>
      </c>
      <c r="F620" s="3" t="s">
        <v>42</v>
      </c>
      <c r="G620" s="3">
        <v>24</v>
      </c>
      <c r="H620" s="3">
        <v>24</v>
      </c>
    </row>
    <row r="621" spans="1:8" ht="14" x14ac:dyDescent="0.3">
      <c r="A621" s="3">
        <f>IF(B620=1, MAX(A$7:A620)+1, A620)</f>
        <v>36</v>
      </c>
      <c r="B621" s="3">
        <v>6</v>
      </c>
      <c r="C621" s="11" t="s">
        <v>997</v>
      </c>
      <c r="D621" s="3">
        <v>5</v>
      </c>
      <c r="E621" s="3">
        <v>14</v>
      </c>
      <c r="F621" s="3" t="s">
        <v>42</v>
      </c>
      <c r="G621" s="3">
        <v>24</v>
      </c>
      <c r="H621" s="3">
        <v>24</v>
      </c>
    </row>
    <row r="622" spans="1:8" ht="14" x14ac:dyDescent="0.3">
      <c r="A622" s="3">
        <f>IF(B621=1, MAX(A$7:A621)+1, A621)</f>
        <v>36</v>
      </c>
      <c r="B622" s="3">
        <v>7</v>
      </c>
      <c r="C622" s="11" t="s">
        <v>998</v>
      </c>
      <c r="D622" s="3">
        <v>5</v>
      </c>
      <c r="E622" s="3">
        <v>14</v>
      </c>
      <c r="F622" s="3" t="s">
        <v>42</v>
      </c>
      <c r="G622" s="3">
        <v>24</v>
      </c>
      <c r="H622" s="3">
        <v>24</v>
      </c>
    </row>
    <row r="623" spans="1:8" ht="14" x14ac:dyDescent="0.3">
      <c r="A623" s="3">
        <f>IF(B622=1, MAX(A$7:A622)+1, A622)</f>
        <v>36</v>
      </c>
      <c r="B623" s="3">
        <v>8</v>
      </c>
      <c r="C623" s="11" t="s">
        <v>999</v>
      </c>
      <c r="D623" s="3">
        <v>5</v>
      </c>
      <c r="E623" s="3">
        <v>14</v>
      </c>
      <c r="F623" s="3" t="s">
        <v>42</v>
      </c>
      <c r="G623" s="3">
        <v>24</v>
      </c>
      <c r="H623" s="3">
        <v>24</v>
      </c>
    </row>
    <row r="624" spans="1:8" ht="14" x14ac:dyDescent="0.3">
      <c r="A624" s="3">
        <f>IF(B623=1, MAX(A$7:A623)+1, A623)</f>
        <v>36</v>
      </c>
      <c r="B624" s="3">
        <v>1</v>
      </c>
      <c r="C624" s="11" t="s">
        <v>1000</v>
      </c>
      <c r="D624" s="3">
        <v>5</v>
      </c>
      <c r="E624" s="3">
        <v>14</v>
      </c>
      <c r="F624" s="3" t="s">
        <v>42</v>
      </c>
      <c r="G624" s="3">
        <v>24</v>
      </c>
      <c r="H624" s="3">
        <v>24</v>
      </c>
    </row>
    <row r="625" spans="1:8" ht="14" x14ac:dyDescent="0.3">
      <c r="A625" s="3">
        <f>IF(B624=1, MAX(A$7:A624)+1, A624)</f>
        <v>37</v>
      </c>
      <c r="B625" s="3">
        <v>2</v>
      </c>
      <c r="C625" s="11" t="s">
        <v>1001</v>
      </c>
      <c r="D625" s="3">
        <v>5</v>
      </c>
      <c r="E625" s="3">
        <v>14</v>
      </c>
      <c r="F625" s="3" t="s">
        <v>42</v>
      </c>
      <c r="G625" s="3">
        <v>24</v>
      </c>
      <c r="H625" s="3">
        <v>24</v>
      </c>
    </row>
    <row r="626" spans="1:8" ht="14" x14ac:dyDescent="0.3">
      <c r="A626" s="3">
        <f>IF(B625=1, MAX(A$7:A625)+1, A625)</f>
        <v>37</v>
      </c>
      <c r="B626" s="3">
        <v>3</v>
      </c>
      <c r="C626" s="11" t="s">
        <v>1002</v>
      </c>
      <c r="D626" s="3">
        <v>5</v>
      </c>
      <c r="E626" s="3">
        <v>14</v>
      </c>
      <c r="F626" s="3" t="s">
        <v>42</v>
      </c>
      <c r="G626" s="3">
        <v>24</v>
      </c>
      <c r="H626" s="3">
        <v>24</v>
      </c>
    </row>
    <row r="627" spans="1:8" ht="14" x14ac:dyDescent="0.3">
      <c r="A627" s="3">
        <f>IF(B626=1, MAX(A$7:A626)+1, A626)</f>
        <v>37</v>
      </c>
      <c r="B627" s="3">
        <v>4</v>
      </c>
      <c r="C627" s="11" t="s">
        <v>1003</v>
      </c>
      <c r="D627" s="3">
        <v>5</v>
      </c>
      <c r="E627" s="3">
        <v>14</v>
      </c>
      <c r="F627" s="3" t="s">
        <v>42</v>
      </c>
      <c r="G627" s="3">
        <v>24</v>
      </c>
      <c r="H627" s="3">
        <v>24</v>
      </c>
    </row>
    <row r="628" spans="1:8" ht="14" x14ac:dyDescent="0.3">
      <c r="A628" s="3">
        <f>IF(B627=1, MAX(A$7:A627)+1, A627)</f>
        <v>37</v>
      </c>
      <c r="B628" s="3">
        <v>5</v>
      </c>
      <c r="C628" s="11" t="s">
        <v>1004</v>
      </c>
      <c r="D628" s="3">
        <v>1.3</v>
      </c>
      <c r="E628" s="3">
        <v>2.6</v>
      </c>
      <c r="F628" s="3" t="s">
        <v>1005</v>
      </c>
      <c r="G628" s="3">
        <v>24</v>
      </c>
      <c r="H628" s="3">
        <v>24</v>
      </c>
    </row>
    <row r="629" spans="1:8" ht="14" x14ac:dyDescent="0.3">
      <c r="A629" s="3">
        <f>IF(B628=1, MAX(A$7:A628)+1, A628)</f>
        <v>37</v>
      </c>
      <c r="B629" s="3">
        <v>6</v>
      </c>
      <c r="C629" s="11" t="s">
        <v>1006</v>
      </c>
      <c r="D629" s="3">
        <v>1.3</v>
      </c>
      <c r="E629" s="3">
        <v>2.6</v>
      </c>
      <c r="F629" s="3" t="s">
        <v>1005</v>
      </c>
      <c r="G629" s="3">
        <v>24</v>
      </c>
      <c r="H629" s="3">
        <v>24</v>
      </c>
    </row>
    <row r="630" spans="1:8" ht="14" x14ac:dyDescent="0.3">
      <c r="A630" s="3">
        <f>IF(B629=1, MAX(A$7:A629)+1, A629)</f>
        <v>37</v>
      </c>
      <c r="B630" s="3">
        <v>7</v>
      </c>
      <c r="C630" s="11" t="s">
        <v>1007</v>
      </c>
      <c r="D630" s="3">
        <v>1.3</v>
      </c>
      <c r="E630" s="3">
        <v>2.6</v>
      </c>
      <c r="F630" s="3" t="s">
        <v>1005</v>
      </c>
      <c r="G630" s="3">
        <v>24</v>
      </c>
      <c r="H630" s="3">
        <v>24</v>
      </c>
    </row>
    <row r="631" spans="1:8" ht="14" x14ac:dyDescent="0.3">
      <c r="A631" s="3">
        <f>IF(B630=1, MAX(A$7:A630)+1, A630)</f>
        <v>37</v>
      </c>
      <c r="B631" s="3">
        <v>8</v>
      </c>
      <c r="C631" s="11" t="s">
        <v>1008</v>
      </c>
      <c r="D631" s="3">
        <v>1.3</v>
      </c>
      <c r="E631" s="3">
        <v>2.6</v>
      </c>
      <c r="F631" s="3" t="s">
        <v>1005</v>
      </c>
      <c r="G631" s="3">
        <v>24</v>
      </c>
      <c r="H631" s="3">
        <v>24</v>
      </c>
    </row>
    <row r="632" spans="1:8" ht="14" x14ac:dyDescent="0.3">
      <c r="A632" s="3">
        <f>IF(B631=1, MAX(A$7:A631)+1, A631)</f>
        <v>37</v>
      </c>
      <c r="B632" s="3">
        <v>9</v>
      </c>
      <c r="C632" s="11" t="s">
        <v>1009</v>
      </c>
      <c r="D632" s="3">
        <v>1.3</v>
      </c>
      <c r="E632" s="3">
        <v>2.6</v>
      </c>
      <c r="F632" s="3" t="s">
        <v>1005</v>
      </c>
      <c r="G632" s="3">
        <v>24</v>
      </c>
      <c r="H632" s="3">
        <v>24</v>
      </c>
    </row>
    <row r="633" spans="1:8" ht="14" x14ac:dyDescent="0.3">
      <c r="A633" s="3">
        <f>IF(B632=1, MAX(A$7:A632)+1, A632)</f>
        <v>37</v>
      </c>
      <c r="B633" s="3">
        <v>10</v>
      </c>
      <c r="C633" s="11" t="s">
        <v>1010</v>
      </c>
      <c r="D633" s="3">
        <v>1.3</v>
      </c>
      <c r="E633" s="3">
        <v>2.6</v>
      </c>
      <c r="F633" s="3" t="s">
        <v>1005</v>
      </c>
      <c r="G633" s="3">
        <v>24</v>
      </c>
      <c r="H633" s="3">
        <v>24</v>
      </c>
    </row>
    <row r="634" spans="1:8" ht="14" x14ac:dyDescent="0.3">
      <c r="A634" s="3">
        <f>IF(B633=1, MAX(A$7:A633)+1, A633)</f>
        <v>37</v>
      </c>
      <c r="B634" s="3">
        <v>11</v>
      </c>
      <c r="C634" s="11" t="s">
        <v>1011</v>
      </c>
      <c r="D634" s="3">
        <v>1.3</v>
      </c>
      <c r="E634" s="3">
        <v>2.6</v>
      </c>
      <c r="F634" s="3" t="s">
        <v>1005</v>
      </c>
      <c r="G634" s="3">
        <v>24</v>
      </c>
      <c r="H634" s="3">
        <v>24</v>
      </c>
    </row>
    <row r="635" spans="1:8" ht="14" x14ac:dyDescent="0.3">
      <c r="A635" s="3">
        <f>IF(B634=1, MAX(A$7:A634)+1, A634)</f>
        <v>37</v>
      </c>
      <c r="B635" s="3">
        <v>12</v>
      </c>
      <c r="C635" s="11" t="s">
        <v>1012</v>
      </c>
      <c r="D635" s="3">
        <v>1.3</v>
      </c>
      <c r="E635" s="3">
        <v>2.6</v>
      </c>
      <c r="F635" s="3" t="s">
        <v>1005</v>
      </c>
      <c r="G635" s="3">
        <v>24</v>
      </c>
      <c r="H635" s="3">
        <v>24</v>
      </c>
    </row>
    <row r="636" spans="1:8" ht="14" x14ac:dyDescent="0.3">
      <c r="A636" s="3">
        <f>IF(B635=1, MAX(A$7:A635)+1, A635)</f>
        <v>37</v>
      </c>
      <c r="B636" s="3">
        <v>1</v>
      </c>
      <c r="C636" s="11" t="s">
        <v>258</v>
      </c>
      <c r="D636" s="3">
        <v>4.0599999999999996</v>
      </c>
      <c r="E636" s="3">
        <v>4.34</v>
      </c>
      <c r="F636" s="3" t="s">
        <v>8</v>
      </c>
      <c r="G636" s="3">
        <v>25</v>
      </c>
      <c r="H636" s="3">
        <v>25</v>
      </c>
    </row>
    <row r="637" spans="1:8" ht="14" x14ac:dyDescent="0.3">
      <c r="A637" s="3">
        <f>IF(B636=1, MAX(A$7:A636)+1, A636)</f>
        <v>38</v>
      </c>
      <c r="B637" s="3">
        <v>2</v>
      </c>
      <c r="C637" s="11" t="s">
        <v>1013</v>
      </c>
      <c r="D637" s="3">
        <v>3.8029999999999999</v>
      </c>
      <c r="E637" s="3">
        <v>4.0970000000000004</v>
      </c>
      <c r="F637" s="3" t="s">
        <v>8</v>
      </c>
      <c r="G637" s="3">
        <v>25</v>
      </c>
      <c r="H637" s="3">
        <v>25</v>
      </c>
    </row>
    <row r="638" spans="1:8" ht="14" x14ac:dyDescent="0.3">
      <c r="A638" s="3">
        <f>IF(B637=1, MAX(A$7:A637)+1, A637)</f>
        <v>38</v>
      </c>
      <c r="B638" s="3">
        <v>3</v>
      </c>
      <c r="C638" s="11" t="s">
        <v>260</v>
      </c>
      <c r="D638" s="3">
        <v>0.15</v>
      </c>
      <c r="E638" s="3">
        <v>0.35</v>
      </c>
      <c r="F638" s="3" t="s">
        <v>8</v>
      </c>
      <c r="G638" s="3">
        <v>25</v>
      </c>
      <c r="H638" s="3">
        <v>25</v>
      </c>
    </row>
    <row r="639" spans="1:8" ht="14" x14ac:dyDescent="0.3">
      <c r="A639" s="3">
        <f>IF(B638=1, MAX(A$7:A638)+1, A638)</f>
        <v>38</v>
      </c>
      <c r="B639" s="3">
        <v>4</v>
      </c>
      <c r="C639" s="11" t="s">
        <v>1014</v>
      </c>
      <c r="D639" s="3">
        <v>4.0599999999999996</v>
      </c>
      <c r="E639" s="3">
        <v>4.34</v>
      </c>
      <c r="F639" s="3" t="s">
        <v>8</v>
      </c>
      <c r="G639" s="3">
        <v>25</v>
      </c>
      <c r="H639" s="3">
        <v>25</v>
      </c>
    </row>
    <row r="640" spans="1:8" ht="14" x14ac:dyDescent="0.3">
      <c r="A640" s="3">
        <f>IF(B639=1, MAX(A$7:A639)+1, A639)</f>
        <v>38</v>
      </c>
      <c r="B640" s="3">
        <v>5</v>
      </c>
      <c r="C640" s="11" t="s">
        <v>1015</v>
      </c>
      <c r="D640" s="3">
        <v>3.8029999999999999</v>
      </c>
      <c r="E640" s="3">
        <v>4.0970000000000004</v>
      </c>
      <c r="F640" s="3" t="s">
        <v>8</v>
      </c>
      <c r="G640" s="3">
        <v>25</v>
      </c>
      <c r="H640" s="3">
        <v>25</v>
      </c>
    </row>
    <row r="641" spans="1:8" ht="14" x14ac:dyDescent="0.3">
      <c r="A641" s="3">
        <f>IF(B640=1, MAX(A$7:A640)+1, A640)</f>
        <v>38</v>
      </c>
      <c r="B641" s="3">
        <v>6</v>
      </c>
      <c r="C641" s="11" t="s">
        <v>1016</v>
      </c>
      <c r="D641" s="3">
        <v>0.15</v>
      </c>
      <c r="E641" s="3">
        <v>0.35</v>
      </c>
      <c r="F641" s="3" t="s">
        <v>8</v>
      </c>
      <c r="G641" s="3">
        <v>25</v>
      </c>
      <c r="H641" s="3">
        <v>25</v>
      </c>
    </row>
    <row r="642" spans="1:8" ht="14" x14ac:dyDescent="0.3">
      <c r="A642" s="3">
        <f>IF(B641=1, MAX(A$7:A641)+1, A641)</f>
        <v>38</v>
      </c>
      <c r="B642" s="3">
        <v>7</v>
      </c>
      <c r="C642" s="11" t="s">
        <v>1017</v>
      </c>
      <c r="D642" s="3">
        <v>4.0599999999999996</v>
      </c>
      <c r="E642" s="3">
        <v>4.34</v>
      </c>
      <c r="F642" s="3" t="s">
        <v>8</v>
      </c>
      <c r="G642" s="3">
        <v>25</v>
      </c>
      <c r="H642" s="3">
        <v>25</v>
      </c>
    </row>
    <row r="643" spans="1:8" ht="14" x14ac:dyDescent="0.3">
      <c r="A643" s="3">
        <f>IF(B642=1, MAX(A$7:A642)+1, A642)</f>
        <v>38</v>
      </c>
      <c r="B643" s="3">
        <v>8</v>
      </c>
      <c r="C643" s="11" t="s">
        <v>1018</v>
      </c>
      <c r="D643" s="3">
        <v>3.8029999999999999</v>
      </c>
      <c r="E643" s="3">
        <v>4.0970000000000004</v>
      </c>
      <c r="F643" s="3" t="s">
        <v>8</v>
      </c>
      <c r="G643" s="3">
        <v>25</v>
      </c>
      <c r="H643" s="3">
        <v>25</v>
      </c>
    </row>
    <row r="644" spans="1:8" ht="14" x14ac:dyDescent="0.3">
      <c r="A644" s="3">
        <f>IF(B643=1, MAX(A$7:A643)+1, A643)</f>
        <v>38</v>
      </c>
      <c r="B644" s="3">
        <v>9</v>
      </c>
      <c r="C644" s="11" t="s">
        <v>1019</v>
      </c>
      <c r="D644" s="3">
        <v>0.15</v>
      </c>
      <c r="E644" s="3">
        <v>0.35</v>
      </c>
      <c r="F644" s="3" t="s">
        <v>8</v>
      </c>
      <c r="G644" s="3">
        <v>25</v>
      </c>
      <c r="H644" s="3">
        <v>25</v>
      </c>
    </row>
    <row r="645" spans="1:8" ht="14" x14ac:dyDescent="0.3">
      <c r="A645" s="3">
        <f>IF(B644=1, MAX(A$7:A644)+1, A644)</f>
        <v>38</v>
      </c>
      <c r="B645" s="3">
        <v>10</v>
      </c>
      <c r="C645" s="11" t="s">
        <v>1020</v>
      </c>
      <c r="D645" s="3">
        <v>4.0599999999999996</v>
      </c>
      <c r="E645" s="3">
        <v>4.34</v>
      </c>
      <c r="F645" s="3" t="s">
        <v>8</v>
      </c>
      <c r="G645" s="3">
        <v>25</v>
      </c>
      <c r="H645" s="3">
        <v>25</v>
      </c>
    </row>
    <row r="646" spans="1:8" ht="14" x14ac:dyDescent="0.3">
      <c r="A646" s="3">
        <f>IF(B645=1, MAX(A$7:A645)+1, A645)</f>
        <v>38</v>
      </c>
      <c r="B646" s="3">
        <v>11</v>
      </c>
      <c r="C646" s="11" t="s">
        <v>1021</v>
      </c>
      <c r="D646" s="3">
        <v>3.8029999999999999</v>
      </c>
      <c r="E646" s="3">
        <v>4.0970000000000004</v>
      </c>
      <c r="F646" s="3" t="s">
        <v>8</v>
      </c>
      <c r="G646" s="3">
        <v>25</v>
      </c>
      <c r="H646" s="3">
        <v>25</v>
      </c>
    </row>
    <row r="647" spans="1:8" ht="14" x14ac:dyDescent="0.3">
      <c r="A647" s="3">
        <f>IF(B646=1, MAX(A$7:A646)+1, A646)</f>
        <v>38</v>
      </c>
      <c r="B647" s="3">
        <v>12</v>
      </c>
      <c r="C647" s="11" t="s">
        <v>1022</v>
      </c>
      <c r="D647" s="3">
        <v>0.15</v>
      </c>
      <c r="E647" s="3">
        <v>0.35</v>
      </c>
      <c r="F647" s="3" t="s">
        <v>8</v>
      </c>
      <c r="G647" s="3">
        <v>25</v>
      </c>
      <c r="H647" s="3">
        <v>25</v>
      </c>
    </row>
    <row r="648" spans="1:8" ht="14" x14ac:dyDescent="0.3">
      <c r="A648" s="3">
        <f>IF(B647=1, MAX(A$7:A647)+1, A647)</f>
        <v>38</v>
      </c>
      <c r="B648" s="3">
        <v>1</v>
      </c>
      <c r="C648" s="11" t="s">
        <v>1023</v>
      </c>
      <c r="D648" s="3">
        <v>460</v>
      </c>
      <c r="E648" s="3">
        <v>500</v>
      </c>
      <c r="F648" s="3" t="s">
        <v>33</v>
      </c>
      <c r="G648" s="3">
        <v>26</v>
      </c>
      <c r="H648" s="3">
        <v>26</v>
      </c>
    </row>
    <row r="649" spans="1:8" ht="14" x14ac:dyDescent="0.3">
      <c r="A649" s="3">
        <f>IF(B648=1, MAX(A$7:A648)+1, A648)</f>
        <v>39</v>
      </c>
      <c r="B649" s="3">
        <v>2</v>
      </c>
      <c r="C649" s="11" t="s">
        <v>106</v>
      </c>
      <c r="D649" s="3">
        <v>500</v>
      </c>
      <c r="E649" s="3">
        <v>540</v>
      </c>
      <c r="F649" s="3" t="s">
        <v>33</v>
      </c>
      <c r="G649" s="3">
        <v>26</v>
      </c>
      <c r="H649" s="3">
        <v>26</v>
      </c>
    </row>
    <row r="650" spans="1:8" ht="14" x14ac:dyDescent="0.3">
      <c r="A650" s="3">
        <f>IF(B649=1, MAX(A$7:A649)+1, A649)</f>
        <v>39</v>
      </c>
      <c r="B650" s="3">
        <v>3</v>
      </c>
      <c r="C650" s="11" t="s">
        <v>1024</v>
      </c>
      <c r="D650" s="3">
        <v>460</v>
      </c>
      <c r="E650" s="3">
        <v>500</v>
      </c>
      <c r="F650" s="3" t="s">
        <v>33</v>
      </c>
      <c r="G650" s="3">
        <v>26</v>
      </c>
      <c r="H650" s="3">
        <v>26</v>
      </c>
    </row>
    <row r="651" spans="1:8" ht="14" x14ac:dyDescent="0.3">
      <c r="A651" s="3">
        <f>IF(B650=1, MAX(A$7:A650)+1, A650)</f>
        <v>39</v>
      </c>
      <c r="B651" s="3">
        <v>4</v>
      </c>
      <c r="C651" s="11" t="s">
        <v>1025</v>
      </c>
      <c r="D651" s="3">
        <v>500</v>
      </c>
      <c r="E651" s="3">
        <v>540</v>
      </c>
      <c r="F651" s="3" t="s">
        <v>33</v>
      </c>
      <c r="G651" s="3">
        <v>26</v>
      </c>
      <c r="H651" s="3">
        <v>26</v>
      </c>
    </row>
    <row r="652" spans="1:8" ht="14" x14ac:dyDescent="0.3">
      <c r="A652" s="3">
        <f>IF(B651=1, MAX(A$7:A651)+1, A651)</f>
        <v>39</v>
      </c>
      <c r="B652" s="3">
        <v>5</v>
      </c>
      <c r="C652" s="11" t="s">
        <v>1026</v>
      </c>
      <c r="D652" s="3">
        <v>665</v>
      </c>
      <c r="E652" s="3">
        <v>705</v>
      </c>
      <c r="F652" s="3" t="s">
        <v>33</v>
      </c>
      <c r="G652" s="3">
        <v>26</v>
      </c>
      <c r="H652" s="3">
        <v>26</v>
      </c>
    </row>
    <row r="653" spans="1:8" ht="14" x14ac:dyDescent="0.3">
      <c r="A653" s="3">
        <f>IF(B652=1, MAX(A$7:A652)+1, A652)</f>
        <v>39</v>
      </c>
      <c r="B653" s="3">
        <v>6</v>
      </c>
      <c r="C653" s="11" t="s">
        <v>1027</v>
      </c>
      <c r="D653" s="3">
        <v>665</v>
      </c>
      <c r="E653" s="3">
        <v>705</v>
      </c>
      <c r="F653" s="3" t="s">
        <v>33</v>
      </c>
      <c r="G653" s="3">
        <v>26</v>
      </c>
      <c r="H653" s="3">
        <v>26</v>
      </c>
    </row>
    <row r="654" spans="1:8" ht="14" x14ac:dyDescent="0.3">
      <c r="A654" s="3">
        <f>IF(B653=1, MAX(A$7:A653)+1, A653)</f>
        <v>39</v>
      </c>
      <c r="B654" s="3">
        <v>1</v>
      </c>
      <c r="C654" s="11" t="s">
        <v>1615</v>
      </c>
      <c r="D654" s="3">
        <v>4.4000000000000004</v>
      </c>
      <c r="E654" s="3">
        <v>5.8</v>
      </c>
      <c r="F654" s="3" t="s">
        <v>900</v>
      </c>
      <c r="G654" s="3">
        <v>27</v>
      </c>
      <c r="H654" s="3">
        <v>27</v>
      </c>
    </row>
    <row r="655" spans="1:8" ht="14" x14ac:dyDescent="0.3">
      <c r="A655" s="3">
        <f>IF(B654=1, MAX(A$7:A654)+1, A654)</f>
        <v>40</v>
      </c>
      <c r="B655" s="3">
        <v>2</v>
      </c>
      <c r="C655" s="11" t="s">
        <v>1028</v>
      </c>
      <c r="D655" s="3">
        <v>4.4000000000000004</v>
      </c>
      <c r="E655" s="3">
        <v>5.8</v>
      </c>
      <c r="F655" s="3" t="s">
        <v>900</v>
      </c>
      <c r="G655" s="3">
        <v>27</v>
      </c>
      <c r="H655" s="3">
        <v>27</v>
      </c>
    </row>
    <row r="656" spans="1:8" ht="14" x14ac:dyDescent="0.3">
      <c r="A656" s="3">
        <f>IF(B655=1, MAX(A$7:A655)+1, A655)</f>
        <v>40</v>
      </c>
      <c r="B656" s="3">
        <v>3</v>
      </c>
      <c r="C656" s="11" t="s">
        <v>1029</v>
      </c>
      <c r="D656" s="3">
        <v>4.4000000000000004</v>
      </c>
      <c r="E656" s="3">
        <v>5.8</v>
      </c>
      <c r="F656" s="3" t="s">
        <v>900</v>
      </c>
      <c r="G656" s="3">
        <v>27</v>
      </c>
      <c r="H656" s="3">
        <v>27</v>
      </c>
    </row>
    <row r="657" spans="1:8" ht="14" x14ac:dyDescent="0.3">
      <c r="A657" s="3">
        <f>IF(B656=1, MAX(A$7:A656)+1, A656)</f>
        <v>40</v>
      </c>
      <c r="B657" s="3">
        <v>4</v>
      </c>
      <c r="C657" s="11" t="s">
        <v>1030</v>
      </c>
      <c r="D657" s="3">
        <v>4.4000000000000004</v>
      </c>
      <c r="E657" s="3">
        <v>5.8</v>
      </c>
      <c r="F657" s="3" t="s">
        <v>900</v>
      </c>
      <c r="G657" s="3">
        <v>27</v>
      </c>
      <c r="H657" s="3">
        <v>27</v>
      </c>
    </row>
    <row r="658" spans="1:8" ht="14" x14ac:dyDescent="0.3">
      <c r="A658" s="3">
        <f>IF(B657=1, MAX(A$7:A657)+1, A657)</f>
        <v>40</v>
      </c>
      <c r="B658" s="3">
        <v>5</v>
      </c>
      <c r="C658" s="11" t="s">
        <v>1031</v>
      </c>
      <c r="D658" s="3">
        <v>0.01</v>
      </c>
      <c r="E658" s="3">
        <v>0.5</v>
      </c>
      <c r="F658" s="3" t="s">
        <v>18</v>
      </c>
      <c r="G658" s="3">
        <v>27</v>
      </c>
      <c r="H658" s="3">
        <v>27</v>
      </c>
    </row>
    <row r="659" spans="1:8" ht="14" x14ac:dyDescent="0.3">
      <c r="A659" s="3">
        <f>IF(B658=1, MAX(A$7:A658)+1, A658)</f>
        <v>40</v>
      </c>
      <c r="B659" s="3">
        <v>6</v>
      </c>
      <c r="C659" s="11" t="s">
        <v>1032</v>
      </c>
      <c r="D659" s="3">
        <v>0.01</v>
      </c>
      <c r="E659" s="3">
        <v>0.5</v>
      </c>
      <c r="F659" s="3" t="s">
        <v>18</v>
      </c>
      <c r="G659" s="3">
        <v>27</v>
      </c>
      <c r="H659" s="3">
        <v>27</v>
      </c>
    </row>
    <row r="660" spans="1:8" ht="14" x14ac:dyDescent="0.3">
      <c r="A660" s="3">
        <f>IF(B659=1, MAX(A$7:A659)+1, A659)</f>
        <v>40</v>
      </c>
      <c r="B660" s="3">
        <v>7</v>
      </c>
      <c r="C660" s="11" t="s">
        <v>1033</v>
      </c>
      <c r="D660" s="3">
        <v>0.01</v>
      </c>
      <c r="E660" s="3">
        <v>0.5</v>
      </c>
      <c r="F660" s="3" t="s">
        <v>18</v>
      </c>
      <c r="G660" s="3">
        <v>27</v>
      </c>
      <c r="H660" s="3">
        <v>27</v>
      </c>
    </row>
    <row r="661" spans="1:8" ht="14" x14ac:dyDescent="0.3">
      <c r="A661" s="3">
        <f>IF(B660=1, MAX(A$7:A660)+1, A660)</f>
        <v>40</v>
      </c>
      <c r="B661" s="3">
        <v>8</v>
      </c>
      <c r="C661" s="11" t="s">
        <v>1034</v>
      </c>
      <c r="D661" s="3">
        <v>0.01</v>
      </c>
      <c r="E661" s="3">
        <v>0.5</v>
      </c>
      <c r="F661" s="3" t="s">
        <v>18</v>
      </c>
      <c r="G661" s="3">
        <v>27</v>
      </c>
      <c r="H661" s="3">
        <v>27</v>
      </c>
    </row>
    <row r="662" spans="1:8" ht="14" x14ac:dyDescent="0.3">
      <c r="A662" s="3">
        <f>IF(B661=1, MAX(A$7:A661)+1, A661)</f>
        <v>40</v>
      </c>
      <c r="B662" s="3">
        <v>1</v>
      </c>
      <c r="C662" s="11" t="s">
        <v>212</v>
      </c>
      <c r="D662" s="3">
        <v>0.5</v>
      </c>
      <c r="E662" s="3">
        <v>2.9</v>
      </c>
      <c r="F662" s="3" t="s">
        <v>1035</v>
      </c>
      <c r="G662" s="3">
        <v>28</v>
      </c>
      <c r="H662" s="3">
        <v>28</v>
      </c>
    </row>
    <row r="663" spans="1:8" ht="14" x14ac:dyDescent="0.3">
      <c r="A663" s="3">
        <f>IF(B662=1, MAX(A$7:A662)+1, A662)</f>
        <v>41</v>
      </c>
      <c r="B663" s="3">
        <v>2</v>
      </c>
      <c r="C663" s="11" t="s">
        <v>1036</v>
      </c>
      <c r="D663" s="3">
        <v>0.5</v>
      </c>
      <c r="E663" s="3">
        <v>2.9</v>
      </c>
      <c r="F663" s="3" t="s">
        <v>1035</v>
      </c>
      <c r="G663" s="3">
        <v>28</v>
      </c>
      <c r="H663" s="3">
        <v>28</v>
      </c>
    </row>
    <row r="664" spans="1:8" ht="14" x14ac:dyDescent="0.3">
      <c r="A664" s="3">
        <f>IF(B663=1, MAX(A$7:A663)+1, A663)</f>
        <v>41</v>
      </c>
      <c r="B664" s="3">
        <v>3</v>
      </c>
      <c r="C664" s="11" t="s">
        <v>251</v>
      </c>
      <c r="D664" s="3">
        <v>0.5</v>
      </c>
      <c r="E664" s="3">
        <v>3</v>
      </c>
      <c r="F664" s="3" t="s">
        <v>1035</v>
      </c>
      <c r="G664" s="3">
        <v>28</v>
      </c>
      <c r="H664" s="3">
        <v>28</v>
      </c>
    </row>
    <row r="665" spans="1:8" ht="14" x14ac:dyDescent="0.3">
      <c r="A665" s="3">
        <f>IF(B664=1, MAX(A$7:A664)+1, A664)</f>
        <v>41</v>
      </c>
      <c r="B665" s="3">
        <v>4</v>
      </c>
      <c r="C665" s="11" t="s">
        <v>1037</v>
      </c>
      <c r="D665" s="3">
        <v>0.5</v>
      </c>
      <c r="E665" s="3">
        <v>3</v>
      </c>
      <c r="F665" s="3" t="s">
        <v>1035</v>
      </c>
      <c r="G665" s="3">
        <v>28</v>
      </c>
      <c r="H665" s="3">
        <v>28</v>
      </c>
    </row>
    <row r="666" spans="1:8" ht="14" x14ac:dyDescent="0.3">
      <c r="A666" s="3">
        <f>IF(B665=1, MAX(A$7:A665)+1, A665)</f>
        <v>41</v>
      </c>
      <c r="B666" s="3">
        <v>5</v>
      </c>
      <c r="C666" s="11" t="s">
        <v>1038</v>
      </c>
      <c r="D666" s="3">
        <v>0.5</v>
      </c>
      <c r="E666" s="3">
        <v>3</v>
      </c>
      <c r="F666" s="3" t="s">
        <v>1035</v>
      </c>
      <c r="G666" s="3">
        <v>28</v>
      </c>
      <c r="H666" s="3">
        <v>28</v>
      </c>
    </row>
    <row r="667" spans="1:8" ht="14" x14ac:dyDescent="0.3">
      <c r="A667" s="3">
        <f>IF(B666=1, MAX(A$7:A666)+1, A666)</f>
        <v>41</v>
      </c>
      <c r="B667" s="3">
        <v>6</v>
      </c>
      <c r="C667" s="11" t="s">
        <v>1039</v>
      </c>
      <c r="D667" s="3">
        <v>0.5</v>
      </c>
      <c r="E667" s="3">
        <v>3</v>
      </c>
      <c r="F667" s="3" t="s">
        <v>1035</v>
      </c>
      <c r="G667" s="3">
        <v>28</v>
      </c>
      <c r="H667" s="3">
        <v>28</v>
      </c>
    </row>
    <row r="668" spans="1:8" ht="14" x14ac:dyDescent="0.3">
      <c r="A668" s="3">
        <f>IF(B667=1, MAX(A$7:A667)+1, A667)</f>
        <v>41</v>
      </c>
      <c r="B668" s="3">
        <v>1</v>
      </c>
      <c r="C668" s="11" t="s">
        <v>1040</v>
      </c>
      <c r="D668" s="3">
        <v>0</v>
      </c>
      <c r="E668" s="3">
        <v>0</v>
      </c>
      <c r="F668" s="3" t="s">
        <v>41</v>
      </c>
      <c r="G668" s="3">
        <v>29</v>
      </c>
      <c r="H668" s="3">
        <v>29</v>
      </c>
    </row>
    <row r="669" spans="1:8" ht="14" x14ac:dyDescent="0.3">
      <c r="A669" s="3">
        <f>IF(B668=1, MAX(A$7:A668)+1, A668)</f>
        <v>42</v>
      </c>
      <c r="B669" s="3">
        <v>2</v>
      </c>
      <c r="C669" s="11" t="s">
        <v>1041</v>
      </c>
      <c r="D669" s="3">
        <v>0</v>
      </c>
      <c r="E669" s="3">
        <v>0</v>
      </c>
      <c r="F669" s="3" t="s">
        <v>41</v>
      </c>
      <c r="G669" s="3">
        <v>29</v>
      </c>
      <c r="H669" s="3">
        <v>29</v>
      </c>
    </row>
    <row r="670" spans="1:8" ht="14" x14ac:dyDescent="0.3">
      <c r="A670" s="3">
        <f>IF(B669=1, MAX(A$7:A669)+1, A669)</f>
        <v>42</v>
      </c>
      <c r="B670" s="3">
        <v>3</v>
      </c>
      <c r="C670" s="11" t="s">
        <v>1042</v>
      </c>
      <c r="D670" s="3">
        <v>0</v>
      </c>
      <c r="E670" s="3">
        <v>0</v>
      </c>
      <c r="F670" s="3" t="s">
        <v>41</v>
      </c>
      <c r="G670" s="3">
        <v>29</v>
      </c>
      <c r="H670" s="3">
        <v>29</v>
      </c>
    </row>
    <row r="671" spans="1:8" ht="14" x14ac:dyDescent="0.3">
      <c r="A671" s="3">
        <f>IF(B670=1, MAX(A$7:A670)+1, A670)</f>
        <v>42</v>
      </c>
      <c r="B671" s="3">
        <v>4</v>
      </c>
      <c r="C671" s="11" t="s">
        <v>1043</v>
      </c>
      <c r="D671" s="3">
        <v>0</v>
      </c>
      <c r="E671" s="3">
        <v>0</v>
      </c>
      <c r="F671" s="3" t="s">
        <v>41</v>
      </c>
      <c r="G671" s="3">
        <v>29</v>
      </c>
      <c r="H671" s="3">
        <v>29</v>
      </c>
    </row>
    <row r="672" spans="1:8" ht="14" x14ac:dyDescent="0.3">
      <c r="A672" s="3">
        <f>IF(B671=1, MAX(A$7:A671)+1, A671)</f>
        <v>42</v>
      </c>
      <c r="B672" s="3">
        <v>5</v>
      </c>
      <c r="C672" s="11" t="s">
        <v>1044</v>
      </c>
      <c r="D672" s="3">
        <v>0</v>
      </c>
      <c r="E672" s="3">
        <v>0</v>
      </c>
      <c r="F672" s="3" t="s">
        <v>41</v>
      </c>
      <c r="G672" s="3">
        <v>29</v>
      </c>
      <c r="H672" s="3">
        <v>29</v>
      </c>
    </row>
    <row r="673" spans="1:8" ht="14" x14ac:dyDescent="0.3">
      <c r="A673" s="3">
        <f>IF(B672=1, MAX(A$7:A672)+1, A672)</f>
        <v>42</v>
      </c>
      <c r="B673" s="3">
        <v>6</v>
      </c>
      <c r="C673" s="11" t="s">
        <v>1045</v>
      </c>
      <c r="D673" s="3">
        <v>0</v>
      </c>
      <c r="E673" s="3">
        <v>0</v>
      </c>
      <c r="F673" s="3" t="s">
        <v>41</v>
      </c>
      <c r="G673" s="3">
        <v>29</v>
      </c>
      <c r="H673" s="3">
        <v>29</v>
      </c>
    </row>
    <row r="674" spans="1:8" ht="14" x14ac:dyDescent="0.3">
      <c r="A674" s="3">
        <f>IF(B673=1, MAX(A$7:A673)+1, A673)</f>
        <v>42</v>
      </c>
      <c r="B674" s="3">
        <v>1</v>
      </c>
      <c r="C674" s="11" t="s">
        <v>272</v>
      </c>
      <c r="D674" s="3">
        <v>5.5</v>
      </c>
      <c r="E674" s="3">
        <v>6</v>
      </c>
      <c r="F674" s="3" t="s">
        <v>1046</v>
      </c>
      <c r="G674" s="3">
        <v>30</v>
      </c>
      <c r="H674" s="3">
        <v>30</v>
      </c>
    </row>
    <row r="675" spans="1:8" ht="14" x14ac:dyDescent="0.3">
      <c r="A675" s="3">
        <f>IF(B674=1, MAX(A$7:A674)+1, A674)</f>
        <v>43</v>
      </c>
      <c r="B675" s="3">
        <v>2</v>
      </c>
      <c r="C675" s="11" t="s">
        <v>1047</v>
      </c>
      <c r="D675" s="3">
        <v>5.5</v>
      </c>
      <c r="E675" s="3">
        <v>6</v>
      </c>
      <c r="F675" s="3" t="s">
        <v>1046</v>
      </c>
      <c r="G675" s="3">
        <v>30</v>
      </c>
      <c r="H675" s="3">
        <v>30</v>
      </c>
    </row>
    <row r="676" spans="1:8" ht="14" x14ac:dyDescent="0.3">
      <c r="A676" s="3">
        <f>IF(B675=1, MAX(A$7:A675)+1, A675)</f>
        <v>43</v>
      </c>
      <c r="B676" s="3">
        <v>3</v>
      </c>
      <c r="C676" s="11" t="s">
        <v>277</v>
      </c>
      <c r="D676" s="3">
        <v>30</v>
      </c>
      <c r="E676" s="3">
        <v>35</v>
      </c>
      <c r="F676" s="3" t="s">
        <v>1046</v>
      </c>
      <c r="G676" s="3">
        <v>30</v>
      </c>
      <c r="H676" s="3">
        <v>30</v>
      </c>
    </row>
    <row r="677" spans="1:8" ht="14" x14ac:dyDescent="0.3">
      <c r="A677" s="3">
        <f>IF(B676=1, MAX(A$7:A676)+1, A676)</f>
        <v>43</v>
      </c>
      <c r="B677" s="3">
        <v>4</v>
      </c>
      <c r="C677" s="11" t="s">
        <v>284</v>
      </c>
      <c r="D677" s="3">
        <v>40</v>
      </c>
      <c r="E677" s="3">
        <v>50</v>
      </c>
      <c r="F677" s="3" t="s">
        <v>1046</v>
      </c>
      <c r="G677" s="3">
        <v>30</v>
      </c>
      <c r="H677" s="3">
        <v>30</v>
      </c>
    </row>
    <row r="678" spans="1:8" ht="14" x14ac:dyDescent="0.3">
      <c r="A678" s="3">
        <f>IF(B677=1, MAX(A$7:A677)+1, A677)</f>
        <v>43</v>
      </c>
      <c r="B678" s="3">
        <v>5</v>
      </c>
      <c r="C678" s="11" t="s">
        <v>1048</v>
      </c>
      <c r="D678" s="3">
        <v>40</v>
      </c>
      <c r="E678" s="3">
        <v>50</v>
      </c>
      <c r="F678" s="3" t="s">
        <v>1046</v>
      </c>
      <c r="G678" s="3">
        <v>30</v>
      </c>
      <c r="H678" s="3">
        <v>30</v>
      </c>
    </row>
    <row r="679" spans="1:8" ht="14" x14ac:dyDescent="0.3">
      <c r="A679" s="3">
        <f>IF(B678=1, MAX(A$7:A678)+1, A678)</f>
        <v>43</v>
      </c>
      <c r="B679" s="3">
        <v>6</v>
      </c>
      <c r="C679" s="11" t="s">
        <v>291</v>
      </c>
      <c r="D679" s="3">
        <v>1.8</v>
      </c>
      <c r="E679" s="3">
        <v>2.6</v>
      </c>
      <c r="F679" s="3" t="s">
        <v>900</v>
      </c>
      <c r="G679" s="3">
        <v>30</v>
      </c>
      <c r="H679" s="3">
        <v>30</v>
      </c>
    </row>
    <row r="680" spans="1:8" ht="14" x14ac:dyDescent="0.3">
      <c r="A680" s="3">
        <f>IF(B679=1, MAX(A$7:A679)+1, A679)</f>
        <v>43</v>
      </c>
      <c r="B680" s="3">
        <v>7</v>
      </c>
      <c r="C680" s="11" t="s">
        <v>1624</v>
      </c>
      <c r="D680" s="3">
        <v>1.7</v>
      </c>
      <c r="E680" s="3">
        <v>2.6</v>
      </c>
      <c r="F680" s="3" t="s">
        <v>900</v>
      </c>
      <c r="G680" s="3">
        <v>30</v>
      </c>
      <c r="H680" s="3">
        <v>30</v>
      </c>
    </row>
    <row r="681" spans="1:8" ht="14" x14ac:dyDescent="0.3">
      <c r="A681" s="3">
        <f>IF(B680=1, MAX(A$7:A680)+1, A680)</f>
        <v>43</v>
      </c>
      <c r="B681" s="3">
        <v>1</v>
      </c>
      <c r="C681" s="11" t="s">
        <v>1049</v>
      </c>
      <c r="D681" s="3">
        <v>550</v>
      </c>
      <c r="E681" s="3">
        <v>900</v>
      </c>
      <c r="F681" s="3" t="s">
        <v>18</v>
      </c>
      <c r="G681" s="3">
        <v>31</v>
      </c>
      <c r="H681" s="3">
        <v>31</v>
      </c>
    </row>
    <row r="682" spans="1:8" ht="14" x14ac:dyDescent="0.3">
      <c r="A682" s="3">
        <f>IF(B681=1, MAX(A$7:A681)+1, A681)</f>
        <v>44</v>
      </c>
      <c r="B682" s="3">
        <v>2</v>
      </c>
      <c r="C682" s="11" t="s">
        <v>1050</v>
      </c>
      <c r="D682" s="3">
        <v>550</v>
      </c>
      <c r="E682" s="3">
        <v>900</v>
      </c>
      <c r="F682" s="3" t="s">
        <v>18</v>
      </c>
      <c r="G682" s="3">
        <v>31</v>
      </c>
      <c r="H682" s="3">
        <v>31</v>
      </c>
    </row>
    <row r="683" spans="1:8" ht="14" x14ac:dyDescent="0.3">
      <c r="A683" s="3">
        <f>IF(B682=1, MAX(A$7:A682)+1, A682)</f>
        <v>44</v>
      </c>
      <c r="B683" s="3">
        <v>3</v>
      </c>
      <c r="C683" s="11" t="s">
        <v>1051</v>
      </c>
      <c r="D683" s="3">
        <v>0.5</v>
      </c>
      <c r="E683" s="3">
        <v>4.5</v>
      </c>
      <c r="F683" s="3" t="s">
        <v>18</v>
      </c>
      <c r="G683" s="3">
        <v>31</v>
      </c>
      <c r="H683" s="3">
        <v>31</v>
      </c>
    </row>
    <row r="684" spans="1:8" ht="14" x14ac:dyDescent="0.3">
      <c r="A684" s="3">
        <f>IF(B683=1, MAX(A$7:A683)+1, A683)</f>
        <v>44</v>
      </c>
      <c r="B684" s="3">
        <v>4</v>
      </c>
      <c r="C684" s="11" t="s">
        <v>1052</v>
      </c>
      <c r="D684" s="3">
        <v>0.5</v>
      </c>
      <c r="E684" s="3">
        <v>4.5</v>
      </c>
      <c r="F684" s="3" t="s">
        <v>18</v>
      </c>
      <c r="G684" s="3">
        <v>31</v>
      </c>
      <c r="H684" s="3">
        <v>31</v>
      </c>
    </row>
    <row r="685" spans="1:8" ht="14" x14ac:dyDescent="0.3">
      <c r="A685" s="3">
        <f>IF(B684=1, MAX(A$7:A684)+1, A684)</f>
        <v>44</v>
      </c>
      <c r="B685" s="3">
        <v>5</v>
      </c>
      <c r="C685" s="11" t="s">
        <v>1053</v>
      </c>
      <c r="D685" s="3">
        <v>0.5</v>
      </c>
      <c r="E685" s="3">
        <v>4.5</v>
      </c>
      <c r="F685" s="3" t="s">
        <v>18</v>
      </c>
      <c r="G685" s="3">
        <v>31</v>
      </c>
      <c r="H685" s="3">
        <v>31</v>
      </c>
    </row>
    <row r="686" spans="1:8" ht="14" x14ac:dyDescent="0.3">
      <c r="A686" s="3">
        <f>IF(B685=1, MAX(A$7:A685)+1, A685)</f>
        <v>44</v>
      </c>
      <c r="B686" s="3">
        <v>6</v>
      </c>
      <c r="C686" s="11" t="s">
        <v>1054</v>
      </c>
      <c r="D686" s="3">
        <v>0.5</v>
      </c>
      <c r="E686" s="3">
        <v>4.5</v>
      </c>
      <c r="F686" s="3" t="s">
        <v>18</v>
      </c>
      <c r="G686" s="3">
        <v>31</v>
      </c>
      <c r="H686" s="3">
        <v>31</v>
      </c>
    </row>
    <row r="687" spans="1:8" ht="14" x14ac:dyDescent="0.3">
      <c r="A687" s="3">
        <f>IF(B686=1, MAX(A$7:A686)+1, A686)</f>
        <v>44</v>
      </c>
      <c r="B687" s="3">
        <v>7</v>
      </c>
      <c r="C687" s="11" t="s">
        <v>1055</v>
      </c>
      <c r="D687" s="3">
        <v>2.8</v>
      </c>
      <c r="E687" s="3">
        <v>5.5</v>
      </c>
      <c r="F687" s="3" t="s">
        <v>18</v>
      </c>
      <c r="G687" s="3">
        <v>31</v>
      </c>
      <c r="H687" s="3">
        <v>31</v>
      </c>
    </row>
    <row r="688" spans="1:8" ht="14" x14ac:dyDescent="0.3">
      <c r="A688" s="3">
        <f>IF(B687=1, MAX(A$7:A687)+1, A687)</f>
        <v>44</v>
      </c>
      <c r="B688" s="3">
        <v>8</v>
      </c>
      <c r="C688" s="11" t="s">
        <v>1056</v>
      </c>
      <c r="D688" s="3">
        <v>2.8</v>
      </c>
      <c r="E688" s="3">
        <v>5.5</v>
      </c>
      <c r="F688" s="3" t="s">
        <v>18</v>
      </c>
      <c r="G688" s="3">
        <v>31</v>
      </c>
      <c r="H688" s="3">
        <v>31</v>
      </c>
    </row>
    <row r="689" spans="1:8" ht="14" x14ac:dyDescent="0.3">
      <c r="A689" s="3">
        <f>IF(B688=1, MAX(A$7:A688)+1, A688)</f>
        <v>44</v>
      </c>
      <c r="B689" s="3">
        <v>9</v>
      </c>
      <c r="C689" s="11" t="s">
        <v>1057</v>
      </c>
      <c r="D689" s="3">
        <v>4</v>
      </c>
      <c r="E689" s="3">
        <v>9</v>
      </c>
      <c r="F689" s="3" t="s">
        <v>18</v>
      </c>
      <c r="G689" s="3">
        <v>31</v>
      </c>
      <c r="H689" s="3">
        <v>31</v>
      </c>
    </row>
    <row r="690" spans="1:8" ht="14" x14ac:dyDescent="0.3">
      <c r="A690" s="3">
        <f>IF(B689=1, MAX(A$7:A689)+1, A689)</f>
        <v>44</v>
      </c>
      <c r="B690" s="3">
        <v>10</v>
      </c>
      <c r="C690" s="11" t="s">
        <v>1058</v>
      </c>
      <c r="D690" s="3">
        <v>4</v>
      </c>
      <c r="E690" s="3">
        <v>9</v>
      </c>
      <c r="F690" s="3" t="s">
        <v>18</v>
      </c>
      <c r="G690" s="3">
        <v>31</v>
      </c>
      <c r="H690" s="3">
        <v>31</v>
      </c>
    </row>
    <row r="691" spans="1:8" ht="14" x14ac:dyDescent="0.3">
      <c r="A691" s="3">
        <f>IF(B690=1, MAX(A$7:A690)+1, A690)</f>
        <v>44</v>
      </c>
      <c r="B691" s="3">
        <v>11</v>
      </c>
      <c r="C691" s="11" t="s">
        <v>1059</v>
      </c>
      <c r="D691" s="3">
        <v>4</v>
      </c>
      <c r="E691" s="3">
        <v>9</v>
      </c>
      <c r="F691" s="3" t="s">
        <v>18</v>
      </c>
      <c r="G691" s="3">
        <v>31</v>
      </c>
      <c r="H691" s="3">
        <v>31</v>
      </c>
    </row>
    <row r="692" spans="1:8" ht="14" x14ac:dyDescent="0.3">
      <c r="A692" s="3">
        <f>IF(B691=1, MAX(A$7:A691)+1, A691)</f>
        <v>44</v>
      </c>
      <c r="B692" s="3">
        <v>12</v>
      </c>
      <c r="C692" s="11" t="s">
        <v>1060</v>
      </c>
      <c r="D692" s="3">
        <v>4</v>
      </c>
      <c r="E692" s="3">
        <v>9</v>
      </c>
      <c r="F692" s="3" t="s">
        <v>18</v>
      </c>
      <c r="G692" s="3">
        <v>31</v>
      </c>
      <c r="H692" s="3">
        <v>31</v>
      </c>
    </row>
    <row r="693" spans="1:8" ht="14" x14ac:dyDescent="0.3">
      <c r="A693" s="3">
        <f>IF(B692=1, MAX(A$7:A692)+1, A692)</f>
        <v>44</v>
      </c>
      <c r="B693" s="3">
        <v>13</v>
      </c>
      <c r="C693" s="11" t="s">
        <v>1061</v>
      </c>
      <c r="D693" s="3">
        <v>-1</v>
      </c>
      <c r="E693" s="3">
        <v>1</v>
      </c>
      <c r="F693" s="3" t="s">
        <v>18</v>
      </c>
      <c r="G693" s="3">
        <v>31</v>
      </c>
      <c r="H693" s="3">
        <v>31</v>
      </c>
    </row>
    <row r="694" spans="1:8" ht="14" x14ac:dyDescent="0.3">
      <c r="A694" s="3">
        <f>IF(B693=1, MAX(A$7:A693)+1, A693)</f>
        <v>44</v>
      </c>
      <c r="B694" s="3">
        <v>14</v>
      </c>
      <c r="C694" s="11" t="s">
        <v>1062</v>
      </c>
      <c r="D694" s="3">
        <v>800</v>
      </c>
      <c r="E694" s="3">
        <v>1300</v>
      </c>
      <c r="F694" s="3" t="s">
        <v>18</v>
      </c>
      <c r="G694" s="3">
        <v>31</v>
      </c>
      <c r="H694" s="3">
        <v>31</v>
      </c>
    </row>
    <row r="695" spans="1:8" ht="14" x14ac:dyDescent="0.3">
      <c r="A695" s="3">
        <f>IF(B694=1, MAX(A$7:A694)+1, A694)</f>
        <v>44</v>
      </c>
      <c r="B695" s="3">
        <v>15</v>
      </c>
      <c r="C695" s="11" t="s">
        <v>1063</v>
      </c>
      <c r="D695" s="3">
        <v>800</v>
      </c>
      <c r="E695" s="3">
        <v>1300</v>
      </c>
      <c r="F695" s="3" t="s">
        <v>18</v>
      </c>
      <c r="G695" s="3">
        <v>31</v>
      </c>
      <c r="H695" s="3">
        <v>31</v>
      </c>
    </row>
    <row r="696" spans="1:8" ht="14" x14ac:dyDescent="0.3">
      <c r="A696" s="3">
        <f>IF(B695=1, MAX(A$7:A695)+1, A695)</f>
        <v>44</v>
      </c>
      <c r="B696" s="3">
        <v>16</v>
      </c>
      <c r="C696" s="11" t="s">
        <v>1064</v>
      </c>
      <c r="D696" s="3">
        <v>800</v>
      </c>
      <c r="E696" s="3">
        <v>1300</v>
      </c>
      <c r="F696" s="3" t="s">
        <v>18</v>
      </c>
      <c r="G696" s="3">
        <v>31</v>
      </c>
      <c r="H696" s="3">
        <v>31</v>
      </c>
    </row>
    <row r="697" spans="1:8" ht="14" x14ac:dyDescent="0.3">
      <c r="A697" s="3">
        <f>IF(B696=1, MAX(A$7:A696)+1, A696)</f>
        <v>44</v>
      </c>
      <c r="B697" s="3">
        <v>17</v>
      </c>
      <c r="C697" s="11" t="s">
        <v>1065</v>
      </c>
      <c r="D697" s="3">
        <v>800</v>
      </c>
      <c r="E697" s="3">
        <v>1300</v>
      </c>
      <c r="F697" s="3" t="s">
        <v>18</v>
      </c>
      <c r="G697" s="3">
        <v>31</v>
      </c>
      <c r="H697" s="3">
        <v>31</v>
      </c>
    </row>
    <row r="698" spans="1:8" ht="14" x14ac:dyDescent="0.3">
      <c r="A698" s="3">
        <f>IF(B697=1, MAX(A$7:A697)+1, A697)</f>
        <v>44</v>
      </c>
      <c r="B698" s="3">
        <v>18</v>
      </c>
      <c r="C698" s="11" t="s">
        <v>1066</v>
      </c>
      <c r="D698" s="3">
        <v>-100</v>
      </c>
      <c r="E698" s="3">
        <v>100</v>
      </c>
      <c r="F698" s="3" t="s">
        <v>18</v>
      </c>
      <c r="G698" s="3">
        <v>31</v>
      </c>
      <c r="H698" s="3">
        <v>31</v>
      </c>
    </row>
    <row r="699" spans="1:8" ht="14" x14ac:dyDescent="0.3">
      <c r="A699" s="3">
        <f>IF(B698=1, MAX(A$7:A698)+1, A698)</f>
        <v>44</v>
      </c>
      <c r="B699" s="3">
        <v>19</v>
      </c>
      <c r="C699" s="11" t="s">
        <v>1067</v>
      </c>
      <c r="D699" s="3">
        <v>-100</v>
      </c>
      <c r="E699" s="3">
        <v>100</v>
      </c>
      <c r="F699" s="3" t="s">
        <v>18</v>
      </c>
      <c r="G699" s="3">
        <v>31</v>
      </c>
      <c r="H699" s="3">
        <v>31</v>
      </c>
    </row>
    <row r="700" spans="1:8" ht="14" x14ac:dyDescent="0.3">
      <c r="A700" s="3">
        <f>IF(B699=1, MAX(A$7:A699)+1, A699)</f>
        <v>44</v>
      </c>
      <c r="B700" s="3">
        <v>20</v>
      </c>
      <c r="C700" s="11" t="s">
        <v>1068</v>
      </c>
      <c r="D700" s="3">
        <v>-0.5</v>
      </c>
      <c r="E700" s="3">
        <v>0.5</v>
      </c>
      <c r="F700" s="3" t="s">
        <v>18</v>
      </c>
      <c r="G700" s="3">
        <v>31</v>
      </c>
      <c r="H700" s="3">
        <v>31</v>
      </c>
    </row>
    <row r="701" spans="1:8" ht="14" x14ac:dyDescent="0.3">
      <c r="A701" s="3">
        <f>IF(B700=1, MAX(A$7:A700)+1, A700)</f>
        <v>44</v>
      </c>
      <c r="B701" s="3">
        <v>21</v>
      </c>
      <c r="C701" s="11" t="s">
        <v>1069</v>
      </c>
      <c r="D701" s="3">
        <v>-0.5</v>
      </c>
      <c r="E701" s="3">
        <v>0.5</v>
      </c>
      <c r="F701" s="3" t="s">
        <v>18</v>
      </c>
      <c r="G701" s="3">
        <v>31</v>
      </c>
      <c r="H701" s="3">
        <v>31</v>
      </c>
    </row>
    <row r="702" spans="1:8" ht="14" x14ac:dyDescent="0.3">
      <c r="A702" s="3">
        <f>IF(B701=1, MAX(A$7:A701)+1, A701)</f>
        <v>44</v>
      </c>
      <c r="B702" s="3">
        <v>22</v>
      </c>
      <c r="C702" s="11" t="s">
        <v>1070</v>
      </c>
      <c r="D702" s="3">
        <v>-0.5</v>
      </c>
      <c r="E702" s="3">
        <v>0.5</v>
      </c>
      <c r="F702" s="3" t="s">
        <v>18</v>
      </c>
      <c r="G702" s="3">
        <v>31</v>
      </c>
      <c r="H702" s="3">
        <v>31</v>
      </c>
    </row>
    <row r="703" spans="1:8" ht="14" x14ac:dyDescent="0.3">
      <c r="A703" s="3">
        <f>IF(B702=1, MAX(A$7:A702)+1, A702)</f>
        <v>44</v>
      </c>
      <c r="B703" s="3">
        <v>23</v>
      </c>
      <c r="C703" s="11" t="s">
        <v>1071</v>
      </c>
      <c r="D703" s="3">
        <v>-0.5</v>
      </c>
      <c r="E703" s="3">
        <v>0.5</v>
      </c>
      <c r="F703" s="3" t="s">
        <v>18</v>
      </c>
      <c r="G703" s="3">
        <v>31</v>
      </c>
      <c r="H703" s="3">
        <v>31</v>
      </c>
    </row>
    <row r="704" spans="1:8" ht="14" x14ac:dyDescent="0.3">
      <c r="A704" s="3">
        <f>IF(B703=1, MAX(A$7:A703)+1, A703)</f>
        <v>44</v>
      </c>
      <c r="B704" s="3">
        <v>24</v>
      </c>
      <c r="C704" s="11" t="s">
        <v>1072</v>
      </c>
      <c r="D704" s="3">
        <v>-0.5</v>
      </c>
      <c r="E704" s="3">
        <v>0.5</v>
      </c>
      <c r="F704" s="3" t="s">
        <v>18</v>
      </c>
      <c r="G704" s="3">
        <v>31</v>
      </c>
      <c r="H704" s="3">
        <v>31</v>
      </c>
    </row>
    <row r="705" spans="1:8" ht="14" x14ac:dyDescent="0.3">
      <c r="A705" s="3">
        <f>IF(B704=1, MAX(A$7:A704)+1, A704)</f>
        <v>44</v>
      </c>
      <c r="B705" s="3">
        <v>25</v>
      </c>
      <c r="C705" s="11" t="s">
        <v>1073</v>
      </c>
      <c r="D705" s="3">
        <v>-0.5</v>
      </c>
      <c r="E705" s="3">
        <v>0.5</v>
      </c>
      <c r="F705" s="3" t="s">
        <v>18</v>
      </c>
      <c r="G705" s="3">
        <v>31</v>
      </c>
      <c r="H705" s="3">
        <v>31</v>
      </c>
    </row>
    <row r="706" spans="1:8" ht="14" x14ac:dyDescent="0.3">
      <c r="A706" s="3">
        <f>IF(B705=1, MAX(A$7:A705)+1, A705)</f>
        <v>44</v>
      </c>
      <c r="B706" s="3">
        <v>26</v>
      </c>
      <c r="C706" s="11" t="s">
        <v>1074</v>
      </c>
      <c r="D706" s="3">
        <v>-0.5</v>
      </c>
      <c r="E706" s="3">
        <v>0.5</v>
      </c>
      <c r="F706" s="3" t="s">
        <v>18</v>
      </c>
      <c r="G706" s="3">
        <v>31</v>
      </c>
      <c r="H706" s="3">
        <v>31</v>
      </c>
    </row>
    <row r="707" spans="1:8" ht="14" x14ac:dyDescent="0.3">
      <c r="A707" s="3">
        <f>IF(B706=1, MAX(A$7:A706)+1, A706)</f>
        <v>44</v>
      </c>
      <c r="B707" s="3">
        <v>27</v>
      </c>
      <c r="C707" s="11" t="s">
        <v>1075</v>
      </c>
      <c r="D707" s="3">
        <v>-0.5</v>
      </c>
      <c r="E707" s="3">
        <v>0.5</v>
      </c>
      <c r="F707" s="3" t="s">
        <v>18</v>
      </c>
      <c r="G707" s="3">
        <v>31</v>
      </c>
      <c r="H707" s="3">
        <v>31</v>
      </c>
    </row>
    <row r="708" spans="1:8" ht="14" x14ac:dyDescent="0.3">
      <c r="A708" s="3">
        <f>IF(B707=1, MAX(A$7:A707)+1, A707)</f>
        <v>44</v>
      </c>
      <c r="B708" s="3">
        <v>28</v>
      </c>
      <c r="C708" s="11" t="s">
        <v>1076</v>
      </c>
      <c r="D708" s="3">
        <v>-0.5</v>
      </c>
      <c r="E708" s="3">
        <v>0.5</v>
      </c>
      <c r="F708" s="3" t="s">
        <v>18</v>
      </c>
      <c r="G708" s="3">
        <v>31</v>
      </c>
      <c r="H708" s="3">
        <v>31</v>
      </c>
    </row>
    <row r="709" spans="1:8" ht="14" x14ac:dyDescent="0.3">
      <c r="A709" s="3">
        <f>IF(B708=1, MAX(A$7:A708)+1, A708)</f>
        <v>44</v>
      </c>
      <c r="B709" s="3">
        <v>29</v>
      </c>
      <c r="C709" s="11" t="s">
        <v>1077</v>
      </c>
      <c r="D709" s="3">
        <v>-0.5</v>
      </c>
      <c r="E709" s="3">
        <v>0.5</v>
      </c>
      <c r="F709" s="3" t="s">
        <v>18</v>
      </c>
      <c r="G709" s="3">
        <v>31</v>
      </c>
      <c r="H709" s="3">
        <v>31</v>
      </c>
    </row>
    <row r="710" spans="1:8" ht="14" x14ac:dyDescent="0.3">
      <c r="A710" s="3">
        <f>IF(B709=1, MAX(A$7:A709)+1, A709)</f>
        <v>44</v>
      </c>
      <c r="B710" s="3">
        <v>30</v>
      </c>
      <c r="C710" s="11" t="s">
        <v>1078</v>
      </c>
      <c r="D710" s="3">
        <v>-1</v>
      </c>
      <c r="E710" s="3">
        <v>1</v>
      </c>
      <c r="F710" s="3" t="s">
        <v>18</v>
      </c>
      <c r="G710" s="3">
        <v>31</v>
      </c>
      <c r="H710" s="3">
        <v>31</v>
      </c>
    </row>
    <row r="711" spans="1:8" ht="14" x14ac:dyDescent="0.3">
      <c r="A711" s="3">
        <f>IF(B710=1, MAX(A$7:A710)+1, A710)</f>
        <v>44</v>
      </c>
      <c r="B711" s="3">
        <v>31</v>
      </c>
      <c r="C711" s="11" t="s">
        <v>1079</v>
      </c>
      <c r="D711" s="3">
        <v>-2</v>
      </c>
      <c r="E711" s="3">
        <v>2</v>
      </c>
      <c r="F711" s="3" t="s">
        <v>18</v>
      </c>
      <c r="G711" s="3">
        <v>31</v>
      </c>
      <c r="H711" s="3">
        <v>31</v>
      </c>
    </row>
    <row r="712" spans="1:8" ht="14" x14ac:dyDescent="0.3">
      <c r="A712" s="3">
        <f>IF(B711=1, MAX(A$7:A711)+1, A711)</f>
        <v>44</v>
      </c>
      <c r="B712" s="3">
        <v>32</v>
      </c>
      <c r="C712" s="11" t="s">
        <v>1080</v>
      </c>
      <c r="D712" s="3">
        <v>-2</v>
      </c>
      <c r="E712" s="3">
        <v>2</v>
      </c>
      <c r="F712" s="3" t="s">
        <v>18</v>
      </c>
      <c r="G712" s="3">
        <v>31</v>
      </c>
      <c r="H712" s="3">
        <v>31</v>
      </c>
    </row>
    <row r="713" spans="1:8" ht="14" x14ac:dyDescent="0.3">
      <c r="A713" s="3">
        <f>IF(B712=1, MAX(A$7:A712)+1, A712)</f>
        <v>44</v>
      </c>
      <c r="B713" s="3">
        <v>33</v>
      </c>
      <c r="C713" s="11" t="s">
        <v>1081</v>
      </c>
      <c r="D713" s="3">
        <v>-2</v>
      </c>
      <c r="E713" s="3">
        <v>2</v>
      </c>
      <c r="F713" s="3" t="s">
        <v>18</v>
      </c>
      <c r="G713" s="3">
        <v>31</v>
      </c>
      <c r="H713" s="3">
        <v>31</v>
      </c>
    </row>
    <row r="714" spans="1:8" ht="14" x14ac:dyDescent="0.3">
      <c r="A714" s="3">
        <f>IF(B713=1, MAX(A$7:A713)+1, A713)</f>
        <v>44</v>
      </c>
      <c r="B714" s="3">
        <v>34</v>
      </c>
      <c r="C714" s="11" t="s">
        <v>1082</v>
      </c>
      <c r="D714" s="3">
        <v>-2</v>
      </c>
      <c r="E714" s="3">
        <v>2</v>
      </c>
      <c r="F714" s="3" t="s">
        <v>18</v>
      </c>
      <c r="G714" s="3">
        <v>31</v>
      </c>
      <c r="H714" s="3">
        <v>31</v>
      </c>
    </row>
    <row r="715" spans="1:8" ht="14" x14ac:dyDescent="0.3">
      <c r="A715" s="3">
        <f>IF(B714=1, MAX(A$7:A714)+1, A714)</f>
        <v>44</v>
      </c>
      <c r="B715" s="3">
        <v>35</v>
      </c>
      <c r="C715" s="11" t="s">
        <v>1083</v>
      </c>
      <c r="D715" s="3">
        <v>2</v>
      </c>
      <c r="E715" s="3">
        <v>12</v>
      </c>
      <c r="F715" s="3" t="s">
        <v>18</v>
      </c>
      <c r="G715" s="3">
        <v>31</v>
      </c>
      <c r="H715" s="3">
        <v>31</v>
      </c>
    </row>
    <row r="716" spans="1:8" ht="14" x14ac:dyDescent="0.3">
      <c r="A716" s="3">
        <f>IF(B715=1, MAX(A$7:A715)+1, A715)</f>
        <v>44</v>
      </c>
      <c r="B716" s="3">
        <v>36</v>
      </c>
      <c r="C716" s="11" t="s">
        <v>1084</v>
      </c>
      <c r="D716" s="3">
        <v>2</v>
      </c>
      <c r="E716" s="3">
        <v>12</v>
      </c>
      <c r="F716" s="3" t="s">
        <v>18</v>
      </c>
      <c r="G716" s="3">
        <v>31</v>
      </c>
      <c r="H716" s="3">
        <v>31</v>
      </c>
    </row>
    <row r="717" spans="1:8" ht="14" x14ac:dyDescent="0.3">
      <c r="A717" s="3">
        <f>IF(B716=1, MAX(A$7:A716)+1, A716)</f>
        <v>44</v>
      </c>
      <c r="B717" s="3">
        <v>37</v>
      </c>
      <c r="C717" s="11" t="s">
        <v>1085</v>
      </c>
      <c r="D717" s="3">
        <v>2</v>
      </c>
      <c r="E717" s="3">
        <v>12</v>
      </c>
      <c r="F717" s="3" t="s">
        <v>18</v>
      </c>
      <c r="G717" s="3">
        <v>31</v>
      </c>
      <c r="H717" s="3">
        <v>31</v>
      </c>
    </row>
    <row r="718" spans="1:8" ht="14" x14ac:dyDescent="0.3">
      <c r="A718" s="3">
        <f>IF(B717=1, MAX(A$7:A717)+1, A717)</f>
        <v>44</v>
      </c>
      <c r="B718" s="3">
        <v>38</v>
      </c>
      <c r="C718" s="11" t="s">
        <v>1086</v>
      </c>
      <c r="D718" s="3">
        <v>2</v>
      </c>
      <c r="E718" s="3">
        <v>12</v>
      </c>
      <c r="F718" s="3" t="s">
        <v>18</v>
      </c>
      <c r="G718" s="3">
        <v>31</v>
      </c>
      <c r="H718" s="3">
        <v>31</v>
      </c>
    </row>
    <row r="719" spans="1:8" ht="14" x14ac:dyDescent="0.3">
      <c r="A719" s="3">
        <f>IF(B718=1, MAX(A$7:A718)+1, A718)</f>
        <v>44</v>
      </c>
      <c r="B719" s="3">
        <v>39</v>
      </c>
      <c r="C719" s="11" t="s">
        <v>1087</v>
      </c>
      <c r="D719" s="3">
        <v>0.2</v>
      </c>
      <c r="E719" s="3">
        <v>5</v>
      </c>
      <c r="F719" s="3" t="s">
        <v>18</v>
      </c>
      <c r="G719" s="3">
        <v>31</v>
      </c>
      <c r="H719" s="3">
        <v>31</v>
      </c>
    </row>
    <row r="720" spans="1:8" ht="14" x14ac:dyDescent="0.3">
      <c r="A720" s="3">
        <f>IF(B719=1, MAX(A$7:A719)+1, A719)</f>
        <v>44</v>
      </c>
      <c r="B720" s="3">
        <v>40</v>
      </c>
      <c r="C720" s="11" t="s">
        <v>1088</v>
      </c>
      <c r="D720" s="3">
        <v>0.2</v>
      </c>
      <c r="E720" s="3">
        <v>5</v>
      </c>
      <c r="F720" s="3" t="s">
        <v>18</v>
      </c>
      <c r="G720" s="3">
        <v>31</v>
      </c>
      <c r="H720" s="3">
        <v>31</v>
      </c>
    </row>
    <row r="721" spans="1:8" ht="14" x14ac:dyDescent="0.3">
      <c r="A721" s="3">
        <f>IF(B720=1, MAX(A$7:A720)+1, A720)</f>
        <v>44</v>
      </c>
      <c r="B721" s="3">
        <v>41</v>
      </c>
      <c r="C721" s="11" t="s">
        <v>1089</v>
      </c>
      <c r="D721" s="3">
        <v>0.2</v>
      </c>
      <c r="E721" s="3">
        <v>5</v>
      </c>
      <c r="F721" s="3" t="s">
        <v>18</v>
      </c>
      <c r="G721" s="3">
        <v>31</v>
      </c>
      <c r="H721" s="3">
        <v>31</v>
      </c>
    </row>
    <row r="722" spans="1:8" ht="14" x14ac:dyDescent="0.3">
      <c r="A722" s="3">
        <f>IF(B721=1, MAX(A$7:A721)+1, A721)</f>
        <v>44</v>
      </c>
      <c r="B722" s="3">
        <v>42</v>
      </c>
      <c r="C722" s="11" t="s">
        <v>1090</v>
      </c>
      <c r="D722" s="3">
        <v>0.2</v>
      </c>
      <c r="E722" s="3">
        <v>5</v>
      </c>
      <c r="F722" s="3" t="s">
        <v>18</v>
      </c>
      <c r="G722" s="3">
        <v>31</v>
      </c>
      <c r="H722" s="3">
        <v>31</v>
      </c>
    </row>
    <row r="723" spans="1:8" ht="14" x14ac:dyDescent="0.3">
      <c r="A723" s="3">
        <f>IF(B722=1, MAX(A$7:A722)+1, A722)</f>
        <v>44</v>
      </c>
      <c r="B723" s="3">
        <v>43</v>
      </c>
      <c r="C723" s="11" t="s">
        <v>1091</v>
      </c>
      <c r="D723" s="3">
        <v>1</v>
      </c>
      <c r="E723" s="3">
        <v>3.5</v>
      </c>
      <c r="F723" s="3" t="s">
        <v>18</v>
      </c>
      <c r="G723" s="3">
        <v>31</v>
      </c>
      <c r="H723" s="3">
        <v>31</v>
      </c>
    </row>
    <row r="724" spans="1:8" ht="14" x14ac:dyDescent="0.3">
      <c r="A724" s="3">
        <f>IF(B723=1, MAX(A$7:A723)+1, A723)</f>
        <v>44</v>
      </c>
      <c r="B724" s="3">
        <v>44</v>
      </c>
      <c r="C724" s="11" t="s">
        <v>1092</v>
      </c>
      <c r="D724" s="3">
        <v>10</v>
      </c>
      <c r="E724" s="3">
        <v>25</v>
      </c>
      <c r="F724" s="3" t="s">
        <v>18</v>
      </c>
      <c r="G724" s="3">
        <v>31</v>
      </c>
      <c r="H724" s="3">
        <v>31</v>
      </c>
    </row>
    <row r="725" spans="1:8" ht="14" x14ac:dyDescent="0.3">
      <c r="A725" s="3">
        <f>IF(B724=1, MAX(A$7:A724)+1, A724)</f>
        <v>44</v>
      </c>
      <c r="B725" s="3">
        <v>45</v>
      </c>
      <c r="C725" s="11" t="s">
        <v>1093</v>
      </c>
      <c r="D725" s="3">
        <v>1</v>
      </c>
      <c r="E725" s="3">
        <v>5</v>
      </c>
      <c r="F725" s="3" t="s">
        <v>18</v>
      </c>
      <c r="G725" s="3">
        <v>31</v>
      </c>
      <c r="H725" s="3">
        <v>31</v>
      </c>
    </row>
    <row r="726" spans="1:8" ht="14" x14ac:dyDescent="0.3">
      <c r="A726" s="3">
        <f>IF(B725=1, MAX(A$7:A725)+1, A725)</f>
        <v>44</v>
      </c>
      <c r="B726" s="3">
        <v>46</v>
      </c>
      <c r="C726" s="11" t="s">
        <v>1094</v>
      </c>
      <c r="D726" s="3">
        <v>1</v>
      </c>
      <c r="E726" s="3">
        <v>5</v>
      </c>
      <c r="F726" s="3" t="s">
        <v>18</v>
      </c>
      <c r="G726" s="3">
        <v>31</v>
      </c>
      <c r="H726" s="3">
        <v>31</v>
      </c>
    </row>
    <row r="727" spans="1:8" ht="14" x14ac:dyDescent="0.3">
      <c r="A727" s="3">
        <f>IF(B726=1, MAX(A$7:A726)+1, A726)</f>
        <v>44</v>
      </c>
      <c r="B727" s="3">
        <v>47</v>
      </c>
      <c r="C727" s="11" t="s">
        <v>1095</v>
      </c>
      <c r="D727" s="3">
        <v>110</v>
      </c>
      <c r="E727" s="3">
        <v>170</v>
      </c>
      <c r="F727" s="3" t="s">
        <v>18</v>
      </c>
      <c r="G727" s="3">
        <v>31</v>
      </c>
      <c r="H727" s="3">
        <v>31</v>
      </c>
    </row>
    <row r="728" spans="1:8" ht="14" x14ac:dyDescent="0.3">
      <c r="A728" s="3">
        <f>IF(B727=1, MAX(A$7:A727)+1, A727)</f>
        <v>44</v>
      </c>
      <c r="B728" s="3">
        <v>48</v>
      </c>
      <c r="C728" s="11" t="s">
        <v>1096</v>
      </c>
      <c r="D728" s="3">
        <v>200</v>
      </c>
      <c r="E728" s="3">
        <v>1200</v>
      </c>
      <c r="F728" s="3" t="s">
        <v>18</v>
      </c>
      <c r="G728" s="3">
        <v>31</v>
      </c>
      <c r="H728" s="3">
        <v>31</v>
      </c>
    </row>
    <row r="729" spans="1:8" ht="14" x14ac:dyDescent="0.3">
      <c r="A729" s="3">
        <f>IF(B728=1, MAX(A$7:A728)+1, A728)</f>
        <v>44</v>
      </c>
      <c r="B729" s="3">
        <v>49</v>
      </c>
      <c r="C729" s="11" t="s">
        <v>1097</v>
      </c>
      <c r="D729" s="3">
        <v>500</v>
      </c>
      <c r="E729" s="3">
        <v>800</v>
      </c>
      <c r="F729" s="3" t="s">
        <v>18</v>
      </c>
      <c r="G729" s="3">
        <v>31</v>
      </c>
      <c r="H729" s="3">
        <v>31</v>
      </c>
    </row>
    <row r="730" spans="1:8" ht="14" x14ac:dyDescent="0.3">
      <c r="A730" s="3">
        <f>IF(B729=1, MAX(A$7:A729)+1, A729)</f>
        <v>44</v>
      </c>
      <c r="B730" s="3">
        <v>50</v>
      </c>
      <c r="C730" s="11" t="s">
        <v>1098</v>
      </c>
      <c r="D730" s="3">
        <v>-1</v>
      </c>
      <c r="E730" s="3">
        <v>1</v>
      </c>
      <c r="F730" s="3" t="s">
        <v>18</v>
      </c>
      <c r="G730" s="3">
        <v>31</v>
      </c>
      <c r="H730" s="3">
        <v>31</v>
      </c>
    </row>
    <row r="731" spans="1:8" ht="14" x14ac:dyDescent="0.3">
      <c r="A731" s="3">
        <f>IF(B730=1, MAX(A$7:A730)+1, A730)</f>
        <v>44</v>
      </c>
      <c r="B731" s="3">
        <v>51</v>
      </c>
      <c r="C731" s="11" t="s">
        <v>1099</v>
      </c>
      <c r="D731" s="3">
        <v>1</v>
      </c>
      <c r="E731" s="3">
        <v>5</v>
      </c>
      <c r="F731" s="3" t="s">
        <v>18</v>
      </c>
      <c r="G731" s="3">
        <v>31</v>
      </c>
      <c r="H731" s="3">
        <v>31</v>
      </c>
    </row>
    <row r="732" spans="1:8" ht="14" x14ac:dyDescent="0.3">
      <c r="A732" s="3">
        <f>IF(B731=1, MAX(A$7:A731)+1, A731)</f>
        <v>44</v>
      </c>
      <c r="B732" s="3">
        <v>52</v>
      </c>
      <c r="C732" s="11" t="s">
        <v>1100</v>
      </c>
      <c r="D732" s="3">
        <v>1</v>
      </c>
      <c r="E732" s="3">
        <v>5</v>
      </c>
      <c r="F732" s="3" t="s">
        <v>18</v>
      </c>
      <c r="G732" s="3">
        <v>31</v>
      </c>
      <c r="H732" s="3">
        <v>31</v>
      </c>
    </row>
    <row r="733" spans="1:8" ht="14" x14ac:dyDescent="0.3">
      <c r="A733" s="3">
        <f>IF(B732=1, MAX(A$7:A732)+1, A732)</f>
        <v>44</v>
      </c>
      <c r="B733" s="3">
        <v>53</v>
      </c>
      <c r="C733" s="11" t="s">
        <v>1101</v>
      </c>
      <c r="D733" s="3">
        <v>2000</v>
      </c>
      <c r="E733" s="3">
        <v>2500</v>
      </c>
      <c r="F733" s="3" t="s">
        <v>18</v>
      </c>
      <c r="G733" s="3">
        <v>31</v>
      </c>
      <c r="H733" s="3">
        <v>31</v>
      </c>
    </row>
    <row r="734" spans="1:8" ht="14" x14ac:dyDescent="0.3">
      <c r="A734" s="3">
        <f>IF(B733=1, MAX(A$7:A733)+1, A733)</f>
        <v>44</v>
      </c>
      <c r="B734" s="3">
        <v>54</v>
      </c>
      <c r="C734" s="11" t="s">
        <v>1102</v>
      </c>
      <c r="D734" s="3">
        <v>2000</v>
      </c>
      <c r="E734" s="3">
        <v>2500</v>
      </c>
      <c r="F734" s="3" t="s">
        <v>18</v>
      </c>
      <c r="G734" s="3">
        <v>31</v>
      </c>
      <c r="H734" s="3">
        <v>31</v>
      </c>
    </row>
    <row r="735" spans="1:8" ht="14" x14ac:dyDescent="0.3">
      <c r="A735" s="3">
        <f>IF(B734=1, MAX(A$7:A734)+1, A734)</f>
        <v>44</v>
      </c>
      <c r="B735" s="3">
        <v>55</v>
      </c>
      <c r="C735" s="11" t="s">
        <v>1103</v>
      </c>
      <c r="D735" s="3">
        <v>250</v>
      </c>
      <c r="E735" s="3">
        <v>500</v>
      </c>
      <c r="F735" s="3" t="s">
        <v>18</v>
      </c>
      <c r="G735" s="3">
        <v>31</v>
      </c>
      <c r="H735" s="3">
        <v>31</v>
      </c>
    </row>
    <row r="736" spans="1:8" ht="14" x14ac:dyDescent="0.3">
      <c r="A736" s="3">
        <f>IF(B735=1, MAX(A$7:A735)+1, A735)</f>
        <v>44</v>
      </c>
      <c r="B736" s="3">
        <v>56</v>
      </c>
      <c r="C736" s="11" t="s">
        <v>1104</v>
      </c>
      <c r="D736" s="3">
        <v>250</v>
      </c>
      <c r="E736" s="3">
        <v>500</v>
      </c>
      <c r="F736" s="3" t="s">
        <v>18</v>
      </c>
      <c r="G736" s="3">
        <v>31</v>
      </c>
      <c r="H736" s="3">
        <v>31</v>
      </c>
    </row>
    <row r="737" spans="1:8" ht="14" x14ac:dyDescent="0.3">
      <c r="A737" s="3">
        <f>IF(B736=1, MAX(A$7:A736)+1, A736)</f>
        <v>44</v>
      </c>
      <c r="B737" s="3">
        <v>57</v>
      </c>
      <c r="C737" s="11" t="s">
        <v>1105</v>
      </c>
      <c r="D737" s="3">
        <v>300</v>
      </c>
      <c r="E737" s="3">
        <v>600</v>
      </c>
      <c r="F737" s="3" t="s">
        <v>18</v>
      </c>
      <c r="G737" s="3">
        <v>31</v>
      </c>
      <c r="H737" s="3">
        <v>31</v>
      </c>
    </row>
    <row r="738" spans="1:8" ht="14" x14ac:dyDescent="0.3">
      <c r="A738" s="3">
        <f>IF(B737=1, MAX(A$7:A737)+1, A737)</f>
        <v>44</v>
      </c>
      <c r="B738" s="3">
        <v>58</v>
      </c>
      <c r="C738" s="11" t="s">
        <v>1106</v>
      </c>
      <c r="D738" s="3">
        <v>300</v>
      </c>
      <c r="E738" s="3">
        <v>600</v>
      </c>
      <c r="F738" s="3" t="s">
        <v>18</v>
      </c>
      <c r="G738" s="3">
        <v>31</v>
      </c>
      <c r="H738" s="3">
        <v>31</v>
      </c>
    </row>
    <row r="739" spans="1:8" ht="14" x14ac:dyDescent="0.3">
      <c r="A739" s="3">
        <f>IF(B738=1, MAX(A$7:A738)+1, A738)</f>
        <v>44</v>
      </c>
      <c r="B739" s="3">
        <v>59</v>
      </c>
      <c r="C739" s="11" t="s">
        <v>1107</v>
      </c>
      <c r="D739" s="3">
        <v>300</v>
      </c>
      <c r="E739" s="3">
        <v>600</v>
      </c>
      <c r="F739" s="3" t="s">
        <v>18</v>
      </c>
      <c r="G739" s="3">
        <v>31</v>
      </c>
      <c r="H739" s="3">
        <v>31</v>
      </c>
    </row>
    <row r="740" spans="1:8" ht="14" x14ac:dyDescent="0.3">
      <c r="A740" s="3">
        <f>IF(B739=1, MAX(A$7:A739)+1, A739)</f>
        <v>44</v>
      </c>
      <c r="B740" s="3">
        <v>60</v>
      </c>
      <c r="C740" s="11" t="s">
        <v>1108</v>
      </c>
      <c r="D740" s="3">
        <v>-3</v>
      </c>
      <c r="E740" s="3">
        <v>3</v>
      </c>
      <c r="F740" s="3" t="s">
        <v>18</v>
      </c>
      <c r="G740" s="3">
        <v>31</v>
      </c>
      <c r="H740" s="3">
        <v>31</v>
      </c>
    </row>
    <row r="741" spans="1:8" ht="14" x14ac:dyDescent="0.3">
      <c r="A741" s="3">
        <f>IF(B740=1, MAX(A$7:A740)+1, A740)</f>
        <v>44</v>
      </c>
      <c r="B741" s="3">
        <v>61</v>
      </c>
      <c r="C741" s="11" t="s">
        <v>1109</v>
      </c>
      <c r="D741" s="3">
        <v>-3</v>
      </c>
      <c r="E741" s="3">
        <v>3</v>
      </c>
      <c r="F741" s="3" t="s">
        <v>18</v>
      </c>
      <c r="G741" s="3">
        <v>31</v>
      </c>
      <c r="H741" s="3">
        <v>31</v>
      </c>
    </row>
    <row r="742" spans="1:8" ht="14" x14ac:dyDescent="0.3">
      <c r="A742" s="3">
        <f>IF(B741=1, MAX(A$7:A741)+1, A741)</f>
        <v>44</v>
      </c>
      <c r="B742" s="3">
        <v>62</v>
      </c>
      <c r="C742" s="11" t="s">
        <v>1110</v>
      </c>
      <c r="D742" s="3">
        <v>-3</v>
      </c>
      <c r="E742" s="3">
        <v>3</v>
      </c>
      <c r="F742" s="3" t="s">
        <v>18</v>
      </c>
      <c r="G742" s="3">
        <v>31</v>
      </c>
      <c r="H742" s="3">
        <v>31</v>
      </c>
    </row>
    <row r="743" spans="1:8" ht="14" x14ac:dyDescent="0.3">
      <c r="A743" s="3">
        <f>IF(B742=1, MAX(A$7:A742)+1, A742)</f>
        <v>44</v>
      </c>
      <c r="B743" s="3">
        <v>63</v>
      </c>
      <c r="C743" s="11" t="s">
        <v>1111</v>
      </c>
      <c r="D743" s="3">
        <v>-3</v>
      </c>
      <c r="E743" s="3">
        <v>3</v>
      </c>
      <c r="F743" s="3" t="s">
        <v>18</v>
      </c>
      <c r="G743" s="3">
        <v>31</v>
      </c>
      <c r="H743" s="3">
        <v>31</v>
      </c>
    </row>
    <row r="744" spans="1:8" ht="14" x14ac:dyDescent="0.3">
      <c r="A744" s="3">
        <f>IF(B743=1, MAX(A$7:A743)+1, A743)</f>
        <v>44</v>
      </c>
      <c r="B744" s="3">
        <v>64</v>
      </c>
      <c r="C744" s="11" t="s">
        <v>1112</v>
      </c>
      <c r="D744" s="3">
        <v>-3</v>
      </c>
      <c r="E744" s="3">
        <v>3</v>
      </c>
      <c r="F744" s="3" t="s">
        <v>18</v>
      </c>
      <c r="G744" s="3">
        <v>31</v>
      </c>
      <c r="H744" s="3">
        <v>31</v>
      </c>
    </row>
    <row r="745" spans="1:8" ht="14" x14ac:dyDescent="0.3">
      <c r="A745" s="3">
        <f>IF(B744=1, MAX(A$7:A744)+1, A744)</f>
        <v>44</v>
      </c>
      <c r="B745" s="3">
        <v>65</v>
      </c>
      <c r="C745" s="11" t="s">
        <v>1113</v>
      </c>
      <c r="D745" s="3">
        <v>-3</v>
      </c>
      <c r="E745" s="3">
        <v>3</v>
      </c>
      <c r="F745" s="3" t="s">
        <v>18</v>
      </c>
      <c r="G745" s="3">
        <v>31</v>
      </c>
      <c r="H745" s="3">
        <v>31</v>
      </c>
    </row>
    <row r="746" spans="1:8" ht="14" x14ac:dyDescent="0.3">
      <c r="A746" s="3">
        <f>IF(B745=1, MAX(A$7:A745)+1, A745)</f>
        <v>44</v>
      </c>
      <c r="B746" s="3">
        <v>66</v>
      </c>
      <c r="C746" s="11" t="s">
        <v>1114</v>
      </c>
      <c r="D746" s="3">
        <v>-3</v>
      </c>
      <c r="E746" s="3">
        <v>3</v>
      </c>
      <c r="F746" s="3" t="s">
        <v>18</v>
      </c>
      <c r="G746" s="3">
        <v>31</v>
      </c>
      <c r="H746" s="3">
        <v>31</v>
      </c>
    </row>
    <row r="747" spans="1:8" ht="14" x14ac:dyDescent="0.3">
      <c r="A747" s="3">
        <f>IF(B746=1, MAX(A$7:A746)+1, A746)</f>
        <v>44</v>
      </c>
      <c r="B747" s="3">
        <v>67</v>
      </c>
      <c r="C747" s="11" t="s">
        <v>1115</v>
      </c>
      <c r="D747" s="3">
        <v>-3</v>
      </c>
      <c r="E747" s="3">
        <v>3</v>
      </c>
      <c r="F747" s="3" t="s">
        <v>18</v>
      </c>
      <c r="G747" s="3">
        <v>31</v>
      </c>
      <c r="H747" s="3">
        <v>31</v>
      </c>
    </row>
    <row r="748" spans="1:8" ht="14" x14ac:dyDescent="0.3">
      <c r="A748" s="3">
        <f>IF(B747=1, MAX(A$7:A747)+1, A747)</f>
        <v>44</v>
      </c>
      <c r="B748" s="3">
        <v>68</v>
      </c>
      <c r="C748" s="11" t="s">
        <v>1116</v>
      </c>
      <c r="D748" s="3">
        <v>-1</v>
      </c>
      <c r="E748" s="3">
        <v>1</v>
      </c>
      <c r="F748" s="3" t="s">
        <v>18</v>
      </c>
      <c r="G748" s="3">
        <v>31</v>
      </c>
      <c r="H748" s="3">
        <v>31</v>
      </c>
    </row>
    <row r="749" spans="1:8" ht="14" x14ac:dyDescent="0.3">
      <c r="A749" s="3">
        <f>IF(B748=1, MAX(A$7:A748)+1, A748)</f>
        <v>44</v>
      </c>
      <c r="B749" s="3">
        <v>69</v>
      </c>
      <c r="C749" s="11" t="s">
        <v>1117</v>
      </c>
      <c r="D749" s="3">
        <v>-3</v>
      </c>
      <c r="E749" s="3">
        <v>3</v>
      </c>
      <c r="F749" s="3" t="s">
        <v>18</v>
      </c>
      <c r="G749" s="3">
        <v>31</v>
      </c>
      <c r="H749" s="3">
        <v>31</v>
      </c>
    </row>
    <row r="750" spans="1:8" ht="14" x14ac:dyDescent="0.3">
      <c r="A750" s="3">
        <f>IF(B749=1, MAX(A$7:A749)+1, A749)</f>
        <v>44</v>
      </c>
      <c r="B750" s="3">
        <v>70</v>
      </c>
      <c r="C750" s="11" t="s">
        <v>1118</v>
      </c>
      <c r="D750" s="3">
        <v>-1</v>
      </c>
      <c r="E750" s="3">
        <v>1</v>
      </c>
      <c r="F750" s="3" t="s">
        <v>18</v>
      </c>
      <c r="G750" s="3">
        <v>31</v>
      </c>
      <c r="H750" s="3">
        <v>31</v>
      </c>
    </row>
    <row r="751" spans="1:8" ht="14" x14ac:dyDescent="0.3">
      <c r="A751" s="3">
        <f>IF(B750=1, MAX(A$7:A750)+1, A750)</f>
        <v>44</v>
      </c>
      <c r="B751" s="3">
        <v>71</v>
      </c>
      <c r="C751" s="11" t="s">
        <v>1119</v>
      </c>
      <c r="D751" s="3">
        <v>-1</v>
      </c>
      <c r="E751" s="3">
        <v>1</v>
      </c>
      <c r="F751" s="3" t="s">
        <v>18</v>
      </c>
      <c r="G751" s="3">
        <v>31</v>
      </c>
      <c r="H751" s="3">
        <v>31</v>
      </c>
    </row>
    <row r="752" spans="1:8" ht="14" x14ac:dyDescent="0.3">
      <c r="A752" s="3">
        <f>IF(B751=1, MAX(A$7:A751)+1, A751)</f>
        <v>44</v>
      </c>
      <c r="B752" s="3">
        <v>72</v>
      </c>
      <c r="C752" s="11" t="s">
        <v>1120</v>
      </c>
      <c r="D752" s="3">
        <v>-5</v>
      </c>
      <c r="E752" s="3">
        <v>5</v>
      </c>
      <c r="F752" s="3" t="s">
        <v>18</v>
      </c>
      <c r="G752" s="3">
        <v>31</v>
      </c>
      <c r="H752" s="3">
        <v>31</v>
      </c>
    </row>
    <row r="753" spans="1:8" ht="14" x14ac:dyDescent="0.3">
      <c r="A753" s="3">
        <f>IF(B752=1, MAX(A$7:A752)+1, A752)</f>
        <v>44</v>
      </c>
      <c r="B753" s="3">
        <v>73</v>
      </c>
      <c r="C753" s="11" t="s">
        <v>1121</v>
      </c>
      <c r="D753" s="3"/>
      <c r="E753" s="3"/>
      <c r="F753" s="3" t="s">
        <v>18</v>
      </c>
      <c r="G753" s="3">
        <v>31</v>
      </c>
      <c r="H753" s="3">
        <v>31</v>
      </c>
    </row>
    <row r="754" spans="1:8" ht="14" x14ac:dyDescent="0.3">
      <c r="A754" s="3">
        <f>IF(B753=1, MAX(A$7:A753)+1, A753)</f>
        <v>44</v>
      </c>
      <c r="B754" s="3">
        <v>74</v>
      </c>
      <c r="C754" s="11" t="s">
        <v>1122</v>
      </c>
      <c r="D754" s="3">
        <v>-100</v>
      </c>
      <c r="E754" s="3">
        <v>100</v>
      </c>
      <c r="F754" s="3" t="s">
        <v>18</v>
      </c>
      <c r="G754" s="3">
        <v>31</v>
      </c>
      <c r="H754" s="3">
        <v>31</v>
      </c>
    </row>
    <row r="755" spans="1:8" ht="14" x14ac:dyDescent="0.3">
      <c r="A755" s="3">
        <f>IF(B754=1, MAX(A$7:A754)+1, A754)</f>
        <v>44</v>
      </c>
      <c r="B755" s="3">
        <v>75</v>
      </c>
      <c r="C755" s="11" t="s">
        <v>1123</v>
      </c>
      <c r="D755" s="3">
        <v>-1</v>
      </c>
      <c r="E755" s="3">
        <v>1</v>
      </c>
      <c r="F755" s="3" t="s">
        <v>18</v>
      </c>
      <c r="G755" s="3">
        <v>31</v>
      </c>
      <c r="H755" s="3">
        <v>31</v>
      </c>
    </row>
    <row r="756" spans="1:8" ht="14" x14ac:dyDescent="0.3">
      <c r="A756" s="3">
        <f>IF(B755=1, MAX(A$7:A755)+1, A755)</f>
        <v>44</v>
      </c>
      <c r="B756" s="3">
        <v>76</v>
      </c>
      <c r="C756" s="11" t="s">
        <v>1124</v>
      </c>
      <c r="D756" s="3">
        <v>-1</v>
      </c>
      <c r="E756" s="3">
        <v>1</v>
      </c>
      <c r="F756" s="3" t="s">
        <v>18</v>
      </c>
      <c r="G756" s="3">
        <v>31</v>
      </c>
      <c r="H756" s="3">
        <v>31</v>
      </c>
    </row>
    <row r="757" spans="1:8" ht="14" x14ac:dyDescent="0.3">
      <c r="A757" s="3">
        <f>IF(B756=1, MAX(A$7:A756)+1, A756)</f>
        <v>44</v>
      </c>
      <c r="B757" s="3">
        <v>77</v>
      </c>
      <c r="C757" s="11" t="s">
        <v>1125</v>
      </c>
      <c r="D757" s="3">
        <v>-1</v>
      </c>
      <c r="E757" s="3">
        <v>1</v>
      </c>
      <c r="F757" s="3" t="s">
        <v>18</v>
      </c>
      <c r="G757" s="3">
        <v>31</v>
      </c>
      <c r="H757" s="3">
        <v>31</v>
      </c>
    </row>
    <row r="758" spans="1:8" ht="14" x14ac:dyDescent="0.3">
      <c r="A758" s="3">
        <f>IF(B757=1, MAX(A$7:A757)+1, A757)</f>
        <v>44</v>
      </c>
      <c r="B758" s="3">
        <v>78</v>
      </c>
      <c r="C758" s="11" t="s">
        <v>1126</v>
      </c>
      <c r="D758" s="3">
        <v>-3</v>
      </c>
      <c r="E758" s="3">
        <v>3</v>
      </c>
      <c r="F758" s="3" t="s">
        <v>18</v>
      </c>
      <c r="G758" s="3">
        <v>31</v>
      </c>
      <c r="H758" s="3">
        <v>31</v>
      </c>
    </row>
    <row r="759" spans="1:8" ht="14" x14ac:dyDescent="0.3">
      <c r="A759" s="3">
        <f>IF(B758=1, MAX(A$7:A758)+1, A758)</f>
        <v>44</v>
      </c>
      <c r="B759" s="3">
        <v>79</v>
      </c>
      <c r="C759" s="11" t="s">
        <v>1127</v>
      </c>
      <c r="D759" s="3">
        <v>-3</v>
      </c>
      <c r="E759" s="3">
        <v>3</v>
      </c>
      <c r="F759" s="3" t="s">
        <v>18</v>
      </c>
      <c r="G759" s="3">
        <v>31</v>
      </c>
      <c r="H759" s="3">
        <v>31</v>
      </c>
    </row>
    <row r="760" spans="1:8" ht="14" x14ac:dyDescent="0.3">
      <c r="A760" s="3">
        <f>IF(B759=1, MAX(A$7:A759)+1, A759)</f>
        <v>44</v>
      </c>
      <c r="B760" s="3">
        <v>80</v>
      </c>
      <c r="C760" s="11" t="s">
        <v>1128</v>
      </c>
      <c r="D760" s="3">
        <v>-1</v>
      </c>
      <c r="E760" s="3">
        <v>1</v>
      </c>
      <c r="F760" s="3" t="s">
        <v>18</v>
      </c>
      <c r="G760" s="3">
        <v>31</v>
      </c>
      <c r="H760" s="3">
        <v>31</v>
      </c>
    </row>
    <row r="761" spans="1:8" ht="14" x14ac:dyDescent="0.3">
      <c r="A761" s="3">
        <f>IF(B760=1, MAX(A$7:A760)+1, A760)</f>
        <v>44</v>
      </c>
      <c r="B761" s="3">
        <v>81</v>
      </c>
      <c r="C761" s="11" t="s">
        <v>1129</v>
      </c>
      <c r="D761" s="3">
        <v>-1</v>
      </c>
      <c r="E761" s="3">
        <v>1</v>
      </c>
      <c r="F761" s="3" t="s">
        <v>18</v>
      </c>
      <c r="G761" s="3">
        <v>31</v>
      </c>
      <c r="H761" s="3">
        <v>31</v>
      </c>
    </row>
    <row r="762" spans="1:8" ht="14" x14ac:dyDescent="0.3">
      <c r="A762" s="3">
        <f>IF(B761=1, MAX(A$7:A761)+1, A761)</f>
        <v>44</v>
      </c>
      <c r="B762" s="3">
        <v>82</v>
      </c>
      <c r="C762" s="11" t="s">
        <v>1130</v>
      </c>
      <c r="D762" s="3">
        <v>-1</v>
      </c>
      <c r="E762" s="3">
        <v>2</v>
      </c>
      <c r="F762" s="3" t="s">
        <v>18</v>
      </c>
      <c r="G762" s="3">
        <v>31</v>
      </c>
      <c r="H762" s="3">
        <v>31</v>
      </c>
    </row>
    <row r="763" spans="1:8" ht="14" x14ac:dyDescent="0.3">
      <c r="A763" s="3">
        <f>IF(B762=1, MAX(A$7:A762)+1, A762)</f>
        <v>44</v>
      </c>
      <c r="B763" s="3">
        <v>83</v>
      </c>
      <c r="C763" s="11" t="s">
        <v>1131</v>
      </c>
      <c r="D763" s="3">
        <v>-1</v>
      </c>
      <c r="E763" s="3">
        <v>2</v>
      </c>
      <c r="F763" s="3" t="s">
        <v>18</v>
      </c>
      <c r="G763" s="3">
        <v>31</v>
      </c>
      <c r="H763" s="3">
        <v>31</v>
      </c>
    </row>
    <row r="764" spans="1:8" ht="14" x14ac:dyDescent="0.3">
      <c r="A764" s="3">
        <f>IF(B763=1, MAX(A$7:A763)+1, A763)</f>
        <v>44</v>
      </c>
      <c r="B764" s="3">
        <v>84</v>
      </c>
      <c r="C764" s="11" t="s">
        <v>1132</v>
      </c>
      <c r="D764" s="3">
        <v>-20</v>
      </c>
      <c r="E764" s="3">
        <v>20</v>
      </c>
      <c r="F764" s="3" t="s">
        <v>18</v>
      </c>
      <c r="G764" s="3">
        <v>31</v>
      </c>
      <c r="H764" s="3">
        <v>31</v>
      </c>
    </row>
    <row r="765" spans="1:8" ht="14" x14ac:dyDescent="0.3">
      <c r="A765" s="3">
        <f>IF(B764=1, MAX(A$7:A764)+1, A764)</f>
        <v>44</v>
      </c>
      <c r="B765" s="3">
        <v>85</v>
      </c>
      <c r="C765" s="11" t="s">
        <v>1133</v>
      </c>
      <c r="D765" s="3">
        <v>5</v>
      </c>
      <c r="E765" s="3">
        <v>18</v>
      </c>
      <c r="F765" s="3" t="s">
        <v>18</v>
      </c>
      <c r="G765" s="3">
        <v>31</v>
      </c>
      <c r="H765" s="3">
        <v>31</v>
      </c>
    </row>
    <row r="766" spans="1:8" ht="14" x14ac:dyDescent="0.3">
      <c r="A766" s="3">
        <f>IF(B765=1, MAX(A$7:A765)+1, A765)</f>
        <v>44</v>
      </c>
      <c r="B766" s="3">
        <v>86</v>
      </c>
      <c r="C766" s="11" t="s">
        <v>1134</v>
      </c>
      <c r="D766" s="3">
        <v>5</v>
      </c>
      <c r="E766" s="3">
        <v>18</v>
      </c>
      <c r="F766" s="3" t="s">
        <v>18</v>
      </c>
      <c r="G766" s="3">
        <v>31</v>
      </c>
      <c r="H766" s="3">
        <v>31</v>
      </c>
    </row>
    <row r="767" spans="1:8" ht="14" x14ac:dyDescent="0.3">
      <c r="A767" s="3">
        <f>IF(B766=1, MAX(A$7:A766)+1, A766)</f>
        <v>44</v>
      </c>
      <c r="B767" s="3">
        <v>87</v>
      </c>
      <c r="C767" s="11" t="s">
        <v>1135</v>
      </c>
      <c r="D767" s="3">
        <v>-10</v>
      </c>
      <c r="E767" s="3">
        <v>2</v>
      </c>
      <c r="F767" s="3" t="s">
        <v>18</v>
      </c>
      <c r="G767" s="3">
        <v>31</v>
      </c>
      <c r="H767" s="3">
        <v>31</v>
      </c>
    </row>
    <row r="768" spans="1:8" ht="14" x14ac:dyDescent="0.3">
      <c r="A768" s="3">
        <f>IF(B767=1, MAX(A$7:A767)+1, A767)</f>
        <v>44</v>
      </c>
      <c r="B768" s="3">
        <v>88</v>
      </c>
      <c r="C768" s="11" t="s">
        <v>1136</v>
      </c>
      <c r="D768" s="3">
        <v>-10</v>
      </c>
      <c r="E768" s="3">
        <v>2</v>
      </c>
      <c r="F768" s="3" t="s">
        <v>18</v>
      </c>
      <c r="G768" s="3">
        <v>31</v>
      </c>
      <c r="H768" s="3">
        <v>31</v>
      </c>
    </row>
    <row r="769" spans="1:8" ht="14" x14ac:dyDescent="0.3">
      <c r="A769" s="3">
        <f>IF(B768=1, MAX(A$7:A768)+1, A768)</f>
        <v>44</v>
      </c>
      <c r="B769" s="3">
        <v>1</v>
      </c>
      <c r="C769" s="11" t="s">
        <v>1137</v>
      </c>
      <c r="D769" s="3">
        <v>1.5</v>
      </c>
      <c r="E769" s="3">
        <v>3.5</v>
      </c>
      <c r="F769" s="3" t="s">
        <v>18</v>
      </c>
      <c r="G769" s="3">
        <v>32</v>
      </c>
      <c r="H769" s="3">
        <v>32</v>
      </c>
    </row>
    <row r="770" spans="1:8" ht="14" x14ac:dyDescent="0.3">
      <c r="A770" s="3">
        <f>IF(B769=1, MAX(A$7:A769)+1, A769)</f>
        <v>45</v>
      </c>
      <c r="B770" s="3">
        <v>2</v>
      </c>
      <c r="C770" s="11" t="s">
        <v>1138</v>
      </c>
      <c r="D770" s="3">
        <v>-0.01</v>
      </c>
      <c r="E770" s="3">
        <v>0.4</v>
      </c>
      <c r="F770" s="3" t="s">
        <v>18</v>
      </c>
      <c r="G770" s="3">
        <v>32</v>
      </c>
      <c r="H770" s="3">
        <v>32</v>
      </c>
    </row>
    <row r="771" spans="1:8" ht="14" x14ac:dyDescent="0.3">
      <c r="A771" s="3">
        <f>IF(B770=1, MAX(A$7:A770)+1, A770)</f>
        <v>45</v>
      </c>
      <c r="B771" s="3">
        <v>3</v>
      </c>
      <c r="C771" s="11" t="s">
        <v>1139</v>
      </c>
      <c r="D771" s="3">
        <v>-0.01</v>
      </c>
      <c r="E771" s="3">
        <v>0.4</v>
      </c>
      <c r="F771" s="3" t="s">
        <v>18</v>
      </c>
      <c r="G771" s="3">
        <v>32</v>
      </c>
      <c r="H771" s="3">
        <v>32</v>
      </c>
    </row>
    <row r="772" spans="1:8" ht="14" x14ac:dyDescent="0.3">
      <c r="A772" s="3">
        <f>IF(B771=1, MAX(A$7:A771)+1, A771)</f>
        <v>45</v>
      </c>
      <c r="B772" s="3">
        <v>4</v>
      </c>
      <c r="C772" s="11" t="s">
        <v>1140</v>
      </c>
      <c r="D772" s="3">
        <v>-0.01</v>
      </c>
      <c r="E772" s="3">
        <v>0.4</v>
      </c>
      <c r="F772" s="3" t="s">
        <v>18</v>
      </c>
      <c r="G772" s="3">
        <v>32</v>
      </c>
      <c r="H772" s="3">
        <v>32</v>
      </c>
    </row>
    <row r="773" spans="1:8" ht="14" x14ac:dyDescent="0.3">
      <c r="A773" s="3">
        <f>IF(B772=1, MAX(A$7:A772)+1, A772)</f>
        <v>45</v>
      </c>
      <c r="B773" s="3">
        <v>5</v>
      </c>
      <c r="C773" s="11" t="s">
        <v>1141</v>
      </c>
      <c r="D773" s="3">
        <v>-0.01</v>
      </c>
      <c r="E773" s="3">
        <v>0.4</v>
      </c>
      <c r="F773" s="3" t="s">
        <v>18</v>
      </c>
      <c r="G773" s="3">
        <v>32</v>
      </c>
      <c r="H773" s="3">
        <v>32</v>
      </c>
    </row>
    <row r="774" spans="1:8" ht="14" x14ac:dyDescent="0.3">
      <c r="A774" s="3">
        <f>IF(B773=1, MAX(A$7:A773)+1, A773)</f>
        <v>45</v>
      </c>
      <c r="B774" s="3">
        <v>6</v>
      </c>
      <c r="C774" s="11" t="s">
        <v>1142</v>
      </c>
      <c r="D774" s="3">
        <v>-0.1</v>
      </c>
      <c r="E774" s="3">
        <v>0.1</v>
      </c>
      <c r="F774" s="3" t="s">
        <v>18</v>
      </c>
      <c r="G774" s="3">
        <v>32</v>
      </c>
      <c r="H774" s="3">
        <v>32</v>
      </c>
    </row>
    <row r="775" spans="1:8" ht="14" x14ac:dyDescent="0.3">
      <c r="A775" s="3">
        <f>IF(B774=1, MAX(A$7:A774)+1, A774)</f>
        <v>45</v>
      </c>
      <c r="B775" s="3">
        <v>7</v>
      </c>
      <c r="C775" s="11" t="s">
        <v>1143</v>
      </c>
      <c r="D775" s="3">
        <v>-0.01</v>
      </c>
      <c r="E775" s="3">
        <v>0.4</v>
      </c>
      <c r="F775" s="3" t="s">
        <v>18</v>
      </c>
      <c r="G775" s="3">
        <v>32</v>
      </c>
      <c r="H775" s="3">
        <v>32</v>
      </c>
    </row>
    <row r="776" spans="1:8" ht="14" x14ac:dyDescent="0.3">
      <c r="A776" s="3">
        <f>IF(B775=1, MAX(A$7:A775)+1, A775)</f>
        <v>45</v>
      </c>
      <c r="B776" s="3">
        <v>8</v>
      </c>
      <c r="C776" s="11" t="s">
        <v>1144</v>
      </c>
      <c r="D776" s="3">
        <v>-0.1</v>
      </c>
      <c r="E776" s="3">
        <v>0.1</v>
      </c>
      <c r="F776" s="3" t="s">
        <v>18</v>
      </c>
      <c r="G776" s="3">
        <v>32</v>
      </c>
      <c r="H776" s="3">
        <v>32</v>
      </c>
    </row>
    <row r="777" spans="1:8" ht="14" x14ac:dyDescent="0.3">
      <c r="A777" s="3">
        <f>IF(B776=1, MAX(A$7:A776)+1, A776)</f>
        <v>45</v>
      </c>
      <c r="B777" s="3">
        <v>9</v>
      </c>
      <c r="C777" s="11" t="s">
        <v>1145</v>
      </c>
      <c r="D777" s="3">
        <v>-0.01</v>
      </c>
      <c r="E777" s="3">
        <v>0.4</v>
      </c>
      <c r="F777" s="3" t="s">
        <v>18</v>
      </c>
      <c r="G777" s="3">
        <v>32</v>
      </c>
      <c r="H777" s="3">
        <v>32</v>
      </c>
    </row>
    <row r="778" spans="1:8" ht="14" x14ac:dyDescent="0.3">
      <c r="A778" s="3">
        <f>IF(B777=1, MAX(A$7:A777)+1, A777)</f>
        <v>45</v>
      </c>
      <c r="B778" s="3">
        <v>10</v>
      </c>
      <c r="C778" s="11" t="s">
        <v>1146</v>
      </c>
      <c r="D778" s="3">
        <v>-0.1</v>
      </c>
      <c r="E778" s="3">
        <v>0.1</v>
      </c>
      <c r="F778" s="3" t="s">
        <v>18</v>
      </c>
      <c r="G778" s="3">
        <v>32</v>
      </c>
      <c r="H778" s="3">
        <v>32</v>
      </c>
    </row>
    <row r="779" spans="1:8" ht="14" x14ac:dyDescent="0.3">
      <c r="A779" s="3">
        <f>IF(B778=1, MAX(A$7:A778)+1, A778)</f>
        <v>45</v>
      </c>
      <c r="B779" s="3">
        <v>11</v>
      </c>
      <c r="C779" s="11" t="s">
        <v>1147</v>
      </c>
      <c r="D779" s="3">
        <v>-0.1</v>
      </c>
      <c r="E779" s="3">
        <v>0.1</v>
      </c>
      <c r="F779" s="3" t="s">
        <v>18</v>
      </c>
      <c r="G779" s="3">
        <v>32</v>
      </c>
      <c r="H779" s="3">
        <v>32</v>
      </c>
    </row>
    <row r="780" spans="1:8" ht="14" x14ac:dyDescent="0.3">
      <c r="A780" s="3">
        <f>IF(B779=1, MAX(A$7:A779)+1, A779)</f>
        <v>45</v>
      </c>
      <c r="B780" s="3">
        <v>12</v>
      </c>
      <c r="C780" s="11" t="s">
        <v>1148</v>
      </c>
      <c r="D780" s="3">
        <v>-0.1</v>
      </c>
      <c r="E780" s="3">
        <v>0.1</v>
      </c>
      <c r="F780" s="3" t="s">
        <v>18</v>
      </c>
      <c r="G780" s="3">
        <v>32</v>
      </c>
      <c r="H780" s="3">
        <v>32</v>
      </c>
    </row>
    <row r="781" spans="1:8" ht="14" x14ac:dyDescent="0.3">
      <c r="A781" s="3">
        <f>IF(B780=1, MAX(A$7:A780)+1, A780)</f>
        <v>45</v>
      </c>
      <c r="B781" s="3">
        <v>13</v>
      </c>
      <c r="C781" s="11" t="s">
        <v>1149</v>
      </c>
      <c r="D781" s="3">
        <v>-0.1</v>
      </c>
      <c r="E781" s="3">
        <v>0.1</v>
      </c>
      <c r="F781" s="3" t="s">
        <v>18</v>
      </c>
      <c r="G781" s="3">
        <v>32</v>
      </c>
      <c r="H781" s="3">
        <v>32</v>
      </c>
    </row>
    <row r="782" spans="1:8" ht="14" x14ac:dyDescent="0.3">
      <c r="A782" s="3">
        <f>IF(B781=1, MAX(A$7:A781)+1, A781)</f>
        <v>45</v>
      </c>
      <c r="B782" s="3">
        <v>14</v>
      </c>
      <c r="C782" s="11" t="s">
        <v>1150</v>
      </c>
      <c r="D782" s="3">
        <v>-0.1</v>
      </c>
      <c r="E782" s="3">
        <v>0.1</v>
      </c>
      <c r="F782" s="3" t="s">
        <v>18</v>
      </c>
      <c r="G782" s="3">
        <v>32</v>
      </c>
      <c r="H782" s="3">
        <v>32</v>
      </c>
    </row>
    <row r="783" spans="1:8" ht="14" x14ac:dyDescent="0.3">
      <c r="A783" s="3">
        <f>IF(B782=1, MAX(A$7:A782)+1, A782)</f>
        <v>45</v>
      </c>
      <c r="B783" s="3">
        <v>15</v>
      </c>
      <c r="C783" s="11" t="s">
        <v>1151</v>
      </c>
      <c r="D783" s="3">
        <v>-0.1</v>
      </c>
      <c r="E783" s="3">
        <v>0.1</v>
      </c>
      <c r="F783" s="3" t="s">
        <v>18</v>
      </c>
      <c r="G783" s="3">
        <v>32</v>
      </c>
      <c r="H783" s="3">
        <v>32</v>
      </c>
    </row>
    <row r="784" spans="1:8" ht="14" x14ac:dyDescent="0.3">
      <c r="A784" s="3">
        <f>IF(B783=1, MAX(A$7:A783)+1, A783)</f>
        <v>45</v>
      </c>
      <c r="B784" s="3">
        <v>16</v>
      </c>
      <c r="C784" s="11" t="s">
        <v>1152</v>
      </c>
      <c r="D784" s="3">
        <v>-0.1</v>
      </c>
      <c r="E784" s="3">
        <v>0.1</v>
      </c>
      <c r="F784" s="3" t="s">
        <v>18</v>
      </c>
      <c r="G784" s="3">
        <v>32</v>
      </c>
      <c r="H784" s="3">
        <v>32</v>
      </c>
    </row>
    <row r="785" spans="1:8" ht="14" x14ac:dyDescent="0.3">
      <c r="A785" s="3">
        <f>IF(B784=1, MAX(A$7:A784)+1, A784)</f>
        <v>45</v>
      </c>
      <c r="B785" s="3">
        <v>17</v>
      </c>
      <c r="C785" s="11" t="s">
        <v>1153</v>
      </c>
      <c r="D785" s="3">
        <v>-0.1</v>
      </c>
      <c r="E785" s="3">
        <v>0.1</v>
      </c>
      <c r="F785" s="3" t="s">
        <v>18</v>
      </c>
      <c r="G785" s="3">
        <v>32</v>
      </c>
      <c r="H785" s="3">
        <v>32</v>
      </c>
    </row>
    <row r="786" spans="1:8" ht="14" x14ac:dyDescent="0.3">
      <c r="A786" s="3">
        <f>IF(B785=1, MAX(A$7:A785)+1, A785)</f>
        <v>45</v>
      </c>
      <c r="B786" s="3">
        <v>18</v>
      </c>
      <c r="C786" s="11" t="s">
        <v>1154</v>
      </c>
      <c r="D786" s="3">
        <v>-0.1</v>
      </c>
      <c r="E786" s="3">
        <v>0.1</v>
      </c>
      <c r="F786" s="3" t="s">
        <v>18</v>
      </c>
      <c r="G786" s="3">
        <v>32</v>
      </c>
      <c r="H786" s="3">
        <v>32</v>
      </c>
    </row>
    <row r="787" spans="1:8" ht="14" x14ac:dyDescent="0.3">
      <c r="A787" s="3">
        <f>IF(B786=1, MAX(A$7:A786)+1, A786)</f>
        <v>45</v>
      </c>
      <c r="B787" s="3">
        <v>19</v>
      </c>
      <c r="C787" s="11" t="s">
        <v>1155</v>
      </c>
      <c r="D787" s="3">
        <v>1.5</v>
      </c>
      <c r="E787" s="3">
        <v>3.5</v>
      </c>
      <c r="F787" s="3" t="s">
        <v>18</v>
      </c>
      <c r="G787" s="3">
        <v>32</v>
      </c>
      <c r="H787" s="3">
        <v>32</v>
      </c>
    </row>
    <row r="788" spans="1:8" ht="14" x14ac:dyDescent="0.3">
      <c r="A788" s="3">
        <f>IF(B787=1, MAX(A$7:A787)+1, A787)</f>
        <v>45</v>
      </c>
      <c r="B788" s="3">
        <v>20</v>
      </c>
      <c r="C788" s="11" t="s">
        <v>1156</v>
      </c>
      <c r="D788" s="3">
        <v>-0.01</v>
      </c>
      <c r="E788" s="3">
        <v>0.4</v>
      </c>
      <c r="F788" s="3" t="s">
        <v>18</v>
      </c>
      <c r="G788" s="3">
        <v>32</v>
      </c>
      <c r="H788" s="3">
        <v>32</v>
      </c>
    </row>
    <row r="789" spans="1:8" ht="14" x14ac:dyDescent="0.3">
      <c r="A789" s="3">
        <f>IF(B788=1, MAX(A$7:A788)+1, A788)</f>
        <v>45</v>
      </c>
      <c r="B789" s="3">
        <v>21</v>
      </c>
      <c r="C789" s="11" t="s">
        <v>1157</v>
      </c>
      <c r="D789" s="3">
        <v>-0.01</v>
      </c>
      <c r="E789" s="3">
        <v>0.4</v>
      </c>
      <c r="F789" s="3" t="s">
        <v>18</v>
      </c>
      <c r="G789" s="3">
        <v>32</v>
      </c>
      <c r="H789" s="3">
        <v>32</v>
      </c>
    </row>
    <row r="790" spans="1:8" ht="14" x14ac:dyDescent="0.3">
      <c r="A790" s="3">
        <f>IF(B789=1, MAX(A$7:A789)+1, A789)</f>
        <v>45</v>
      </c>
      <c r="B790" s="3">
        <v>22</v>
      </c>
      <c r="C790" s="11" t="s">
        <v>1158</v>
      </c>
      <c r="D790" s="3">
        <v>-0.01</v>
      </c>
      <c r="E790" s="3">
        <v>0.4</v>
      </c>
      <c r="F790" s="3" t="s">
        <v>18</v>
      </c>
      <c r="G790" s="3">
        <v>32</v>
      </c>
      <c r="H790" s="3">
        <v>32</v>
      </c>
    </row>
    <row r="791" spans="1:8" ht="14" x14ac:dyDescent="0.3">
      <c r="A791" s="3">
        <f>IF(B790=1, MAX(A$7:A790)+1, A790)</f>
        <v>45</v>
      </c>
      <c r="B791" s="3">
        <v>23</v>
      </c>
      <c r="C791" s="11" t="s">
        <v>1159</v>
      </c>
      <c r="D791" s="3">
        <v>-0.01</v>
      </c>
      <c r="E791" s="3">
        <v>0.4</v>
      </c>
      <c r="F791" s="3" t="s">
        <v>18</v>
      </c>
      <c r="G791" s="3">
        <v>32</v>
      </c>
      <c r="H791" s="3">
        <v>32</v>
      </c>
    </row>
    <row r="792" spans="1:8" ht="14" x14ac:dyDescent="0.3">
      <c r="A792" s="3">
        <f>IF(B791=1, MAX(A$7:A791)+1, A791)</f>
        <v>45</v>
      </c>
      <c r="B792" s="3">
        <v>24</v>
      </c>
      <c r="C792" s="11" t="s">
        <v>1160</v>
      </c>
      <c r="D792" s="3">
        <v>-0.1</v>
      </c>
      <c r="E792" s="3">
        <v>0.1</v>
      </c>
      <c r="F792" s="3" t="s">
        <v>18</v>
      </c>
      <c r="G792" s="3">
        <v>32</v>
      </c>
      <c r="H792" s="3">
        <v>32</v>
      </c>
    </row>
    <row r="793" spans="1:8" ht="14" x14ac:dyDescent="0.3">
      <c r="A793" s="3">
        <f>IF(B792=1, MAX(A$7:A792)+1, A792)</f>
        <v>45</v>
      </c>
      <c r="B793" s="3">
        <v>25</v>
      </c>
      <c r="C793" s="11" t="s">
        <v>1161</v>
      </c>
      <c r="D793" s="3">
        <v>-0.01</v>
      </c>
      <c r="E793" s="3">
        <v>0.4</v>
      </c>
      <c r="F793" s="3" t="s">
        <v>18</v>
      </c>
      <c r="G793" s="3">
        <v>32</v>
      </c>
      <c r="H793" s="3">
        <v>32</v>
      </c>
    </row>
    <row r="794" spans="1:8" ht="14" x14ac:dyDescent="0.3">
      <c r="A794" s="3">
        <f>IF(B793=1, MAX(A$7:A793)+1, A793)</f>
        <v>45</v>
      </c>
      <c r="B794" s="3">
        <v>26</v>
      </c>
      <c r="C794" s="11" t="s">
        <v>1162</v>
      </c>
      <c r="D794" s="3">
        <v>-0.1</v>
      </c>
      <c r="E794" s="3">
        <v>0.1</v>
      </c>
      <c r="F794" s="3" t="s">
        <v>18</v>
      </c>
      <c r="G794" s="3">
        <v>32</v>
      </c>
      <c r="H794" s="3">
        <v>32</v>
      </c>
    </row>
    <row r="795" spans="1:8" ht="14" x14ac:dyDescent="0.3">
      <c r="A795" s="3">
        <f>IF(B794=1, MAX(A$7:A794)+1, A794)</f>
        <v>45</v>
      </c>
      <c r="B795" s="3">
        <v>27</v>
      </c>
      <c r="C795" s="11" t="s">
        <v>1163</v>
      </c>
      <c r="D795" s="3">
        <v>-0.01</v>
      </c>
      <c r="E795" s="3">
        <v>0.4</v>
      </c>
      <c r="F795" s="3" t="s">
        <v>18</v>
      </c>
      <c r="G795" s="3">
        <v>32</v>
      </c>
      <c r="H795" s="3">
        <v>32</v>
      </c>
    </row>
    <row r="796" spans="1:8" ht="14" x14ac:dyDescent="0.3">
      <c r="A796" s="3">
        <f>IF(B795=1, MAX(A$7:A795)+1, A795)</f>
        <v>45</v>
      </c>
      <c r="B796" s="3">
        <v>28</v>
      </c>
      <c r="C796" s="11" t="s">
        <v>1164</v>
      </c>
      <c r="D796" s="3">
        <v>-0.1</v>
      </c>
      <c r="E796" s="3">
        <v>0.1</v>
      </c>
      <c r="F796" s="3" t="s">
        <v>18</v>
      </c>
      <c r="G796" s="3">
        <v>32</v>
      </c>
      <c r="H796" s="3">
        <v>32</v>
      </c>
    </row>
    <row r="797" spans="1:8" ht="14" x14ac:dyDescent="0.3">
      <c r="A797" s="3">
        <f>IF(B796=1, MAX(A$7:A796)+1, A796)</f>
        <v>45</v>
      </c>
      <c r="B797" s="3">
        <v>29</v>
      </c>
      <c r="C797" s="11" t="s">
        <v>1165</v>
      </c>
      <c r="D797" s="3">
        <v>-0.1</v>
      </c>
      <c r="E797" s="3">
        <v>0.1</v>
      </c>
      <c r="F797" s="3" t="s">
        <v>18</v>
      </c>
      <c r="G797" s="3">
        <v>32</v>
      </c>
      <c r="H797" s="3">
        <v>32</v>
      </c>
    </row>
    <row r="798" spans="1:8" ht="14" x14ac:dyDescent="0.3">
      <c r="A798" s="3">
        <f>IF(B797=1, MAX(A$7:A797)+1, A797)</f>
        <v>45</v>
      </c>
      <c r="B798" s="3">
        <v>30</v>
      </c>
      <c r="C798" s="11" t="s">
        <v>1166</v>
      </c>
      <c r="D798" s="3">
        <v>-0.1</v>
      </c>
      <c r="E798" s="3">
        <v>0.1</v>
      </c>
      <c r="F798" s="3" t="s">
        <v>18</v>
      </c>
      <c r="G798" s="3">
        <v>32</v>
      </c>
      <c r="H798" s="3">
        <v>32</v>
      </c>
    </row>
    <row r="799" spans="1:8" ht="14" x14ac:dyDescent="0.3">
      <c r="A799" s="3">
        <f>IF(B798=1, MAX(A$7:A798)+1, A798)</f>
        <v>45</v>
      </c>
      <c r="B799" s="3">
        <v>31</v>
      </c>
      <c r="C799" s="11" t="s">
        <v>1167</v>
      </c>
      <c r="D799" s="3">
        <v>-0.1</v>
      </c>
      <c r="E799" s="3">
        <v>0.1</v>
      </c>
      <c r="F799" s="3" t="s">
        <v>18</v>
      </c>
      <c r="G799" s="3">
        <v>32</v>
      </c>
      <c r="H799" s="3">
        <v>32</v>
      </c>
    </row>
    <row r="800" spans="1:8" ht="14" x14ac:dyDescent="0.3">
      <c r="A800" s="3">
        <f>IF(B799=1, MAX(A$7:A799)+1, A799)</f>
        <v>45</v>
      </c>
      <c r="B800" s="3">
        <v>32</v>
      </c>
      <c r="C800" s="11" t="s">
        <v>1168</v>
      </c>
      <c r="D800" s="3">
        <v>-0.1</v>
      </c>
      <c r="E800" s="3">
        <v>0.1</v>
      </c>
      <c r="F800" s="3" t="s">
        <v>18</v>
      </c>
      <c r="G800" s="3">
        <v>32</v>
      </c>
      <c r="H800" s="3">
        <v>32</v>
      </c>
    </row>
    <row r="801" spans="1:8" ht="14" x14ac:dyDescent="0.3">
      <c r="A801" s="3">
        <f>IF(B800=1, MAX(A$7:A800)+1, A800)</f>
        <v>45</v>
      </c>
      <c r="B801" s="3">
        <v>33</v>
      </c>
      <c r="C801" s="11" t="s">
        <v>1169</v>
      </c>
      <c r="D801" s="3">
        <v>-0.1</v>
      </c>
      <c r="E801" s="3">
        <v>0.1</v>
      </c>
      <c r="F801" s="3" t="s">
        <v>18</v>
      </c>
      <c r="G801" s="3">
        <v>32</v>
      </c>
      <c r="H801" s="3">
        <v>32</v>
      </c>
    </row>
    <row r="802" spans="1:8" ht="14" x14ac:dyDescent="0.3">
      <c r="A802" s="3">
        <f>IF(B801=1, MAX(A$7:A801)+1, A801)</f>
        <v>45</v>
      </c>
      <c r="B802" s="3">
        <v>34</v>
      </c>
      <c r="C802" s="11" t="s">
        <v>1170</v>
      </c>
      <c r="D802" s="3">
        <v>-0.1</v>
      </c>
      <c r="E802" s="3">
        <v>0.1</v>
      </c>
      <c r="F802" s="3" t="s">
        <v>18</v>
      </c>
      <c r="G802" s="3">
        <v>32</v>
      </c>
      <c r="H802" s="3">
        <v>32</v>
      </c>
    </row>
    <row r="803" spans="1:8" ht="14" x14ac:dyDescent="0.3">
      <c r="A803" s="3">
        <f>IF(B802=1, MAX(A$7:A802)+1, A802)</f>
        <v>45</v>
      </c>
      <c r="B803" s="3">
        <v>35</v>
      </c>
      <c r="C803" s="11" t="s">
        <v>1171</v>
      </c>
      <c r="D803" s="3">
        <v>-0.01</v>
      </c>
      <c r="E803" s="3">
        <v>0.3</v>
      </c>
      <c r="F803" s="3" t="s">
        <v>18</v>
      </c>
      <c r="G803" s="3">
        <v>32</v>
      </c>
      <c r="H803" s="3">
        <v>32</v>
      </c>
    </row>
    <row r="804" spans="1:8" ht="14" x14ac:dyDescent="0.3">
      <c r="A804" s="3">
        <f>IF(B803=1, MAX(A$7:A803)+1, A803)</f>
        <v>45</v>
      </c>
      <c r="B804" s="3">
        <v>36</v>
      </c>
      <c r="C804" s="11" t="s">
        <v>1172</v>
      </c>
      <c r="D804" s="3">
        <v>-0.1</v>
      </c>
      <c r="E804" s="3">
        <v>0.1</v>
      </c>
      <c r="F804" s="3" t="s">
        <v>18</v>
      </c>
      <c r="G804" s="3">
        <v>32</v>
      </c>
      <c r="H804" s="3">
        <v>32</v>
      </c>
    </row>
    <row r="805" spans="1:8" ht="14" x14ac:dyDescent="0.3">
      <c r="A805" s="3">
        <f>IF(B804=1, MAX(A$7:A804)+1, A804)</f>
        <v>45</v>
      </c>
      <c r="B805" s="3">
        <v>37</v>
      </c>
      <c r="C805" s="11" t="s">
        <v>1173</v>
      </c>
      <c r="D805" s="3">
        <v>0.1</v>
      </c>
      <c r="E805" s="3">
        <v>0.8</v>
      </c>
      <c r="F805" s="3" t="s">
        <v>18</v>
      </c>
      <c r="G805" s="3">
        <v>32</v>
      </c>
      <c r="H805" s="3">
        <v>32</v>
      </c>
    </row>
    <row r="806" spans="1:8" ht="14" x14ac:dyDescent="0.3">
      <c r="A806" s="3">
        <f>IF(B805=1, MAX(A$7:A805)+1, A805)</f>
        <v>45</v>
      </c>
      <c r="B806" s="3">
        <v>38</v>
      </c>
      <c r="C806" s="11" t="s">
        <v>1174</v>
      </c>
      <c r="D806" s="3">
        <v>0.1</v>
      </c>
      <c r="E806" s="3">
        <v>0.8</v>
      </c>
      <c r="F806" s="3" t="s">
        <v>18</v>
      </c>
      <c r="G806" s="3">
        <v>32</v>
      </c>
      <c r="H806" s="3">
        <v>32</v>
      </c>
    </row>
    <row r="807" spans="1:8" ht="14" x14ac:dyDescent="0.3">
      <c r="A807" s="3">
        <f>IF(B806=1, MAX(A$7:A806)+1, A806)</f>
        <v>45</v>
      </c>
      <c r="B807" s="3">
        <v>39</v>
      </c>
      <c r="C807" s="11" t="s">
        <v>1175</v>
      </c>
      <c r="D807" s="3">
        <v>0.1</v>
      </c>
      <c r="E807" s="3">
        <v>0.6</v>
      </c>
      <c r="F807" s="3" t="s">
        <v>18</v>
      </c>
      <c r="G807" s="3">
        <v>32</v>
      </c>
      <c r="H807" s="3">
        <v>32</v>
      </c>
    </row>
    <row r="808" spans="1:8" ht="14" x14ac:dyDescent="0.3">
      <c r="A808" s="3">
        <f>IF(B807=1, MAX(A$7:A807)+1, A807)</f>
        <v>45</v>
      </c>
      <c r="B808" s="3">
        <v>40</v>
      </c>
      <c r="C808" s="11" t="s">
        <v>1176</v>
      </c>
      <c r="D808" s="3">
        <v>-0.01</v>
      </c>
      <c r="E808" s="3">
        <v>0.5</v>
      </c>
      <c r="F808" s="3" t="s">
        <v>18</v>
      </c>
      <c r="G808" s="3">
        <v>32</v>
      </c>
      <c r="H808" s="3">
        <v>32</v>
      </c>
    </row>
    <row r="809" spans="1:8" ht="14" x14ac:dyDescent="0.3">
      <c r="A809" s="3">
        <f>IF(B808=1, MAX(A$7:A808)+1, A808)</f>
        <v>45</v>
      </c>
      <c r="B809" s="3">
        <v>41</v>
      </c>
      <c r="C809" s="11" t="s">
        <v>1177</v>
      </c>
      <c r="D809" s="3">
        <v>-0.1</v>
      </c>
      <c r="E809" s="3">
        <v>0.3</v>
      </c>
      <c r="F809" s="3" t="s">
        <v>18</v>
      </c>
      <c r="G809" s="3">
        <v>32</v>
      </c>
      <c r="H809" s="3">
        <v>32</v>
      </c>
    </row>
    <row r="810" spans="1:8" ht="14" x14ac:dyDescent="0.3">
      <c r="A810" s="3">
        <f>IF(B809=1, MAX(A$7:A809)+1, A809)</f>
        <v>45</v>
      </c>
      <c r="B810" s="3">
        <v>42</v>
      </c>
      <c r="C810" s="11" t="s">
        <v>1178</v>
      </c>
      <c r="D810" s="3">
        <v>-0.1</v>
      </c>
      <c r="E810" s="3">
        <v>0.1</v>
      </c>
      <c r="F810" s="3" t="s">
        <v>18</v>
      </c>
      <c r="G810" s="3">
        <v>32</v>
      </c>
      <c r="H810" s="3">
        <v>32</v>
      </c>
    </row>
    <row r="811" spans="1:8" ht="14" x14ac:dyDescent="0.3">
      <c r="A811" s="3">
        <f>IF(B810=1, MAX(A$7:A810)+1, A810)</f>
        <v>45</v>
      </c>
      <c r="B811" s="3">
        <v>43</v>
      </c>
      <c r="C811" s="11" t="s">
        <v>1179</v>
      </c>
      <c r="D811" s="3">
        <v>-0.1</v>
      </c>
      <c r="E811" s="3">
        <v>0.1</v>
      </c>
      <c r="F811" s="3" t="s">
        <v>18</v>
      </c>
      <c r="G811" s="3">
        <v>32</v>
      </c>
      <c r="H811" s="3">
        <v>32</v>
      </c>
    </row>
    <row r="812" spans="1:8" ht="14" x14ac:dyDescent="0.3">
      <c r="A812" s="3">
        <f>IF(B811=1, MAX(A$7:A811)+1, A811)</f>
        <v>45</v>
      </c>
      <c r="B812" s="3">
        <v>44</v>
      </c>
      <c r="C812" s="11" t="s">
        <v>1180</v>
      </c>
      <c r="D812" s="3">
        <v>-0.1</v>
      </c>
      <c r="E812" s="3">
        <v>0.1</v>
      </c>
      <c r="F812" s="3" t="s">
        <v>18</v>
      </c>
      <c r="G812" s="3">
        <v>32</v>
      </c>
      <c r="H812" s="3">
        <v>32</v>
      </c>
    </row>
    <row r="813" spans="1:8" ht="14" x14ac:dyDescent="0.3">
      <c r="A813" s="3">
        <f>IF(B812=1, MAX(A$7:A812)+1, A812)</f>
        <v>45</v>
      </c>
      <c r="B813" s="3">
        <v>45</v>
      </c>
      <c r="C813" s="11" t="s">
        <v>1181</v>
      </c>
      <c r="D813" s="3">
        <v>-0.1</v>
      </c>
      <c r="E813" s="3">
        <v>0.1</v>
      </c>
      <c r="F813" s="3" t="s">
        <v>18</v>
      </c>
      <c r="G813" s="3">
        <v>32</v>
      </c>
      <c r="H813" s="3">
        <v>32</v>
      </c>
    </row>
    <row r="814" spans="1:8" ht="14" x14ac:dyDescent="0.3">
      <c r="A814" s="3">
        <f>IF(B813=1, MAX(A$7:A813)+1, A813)</f>
        <v>45</v>
      </c>
      <c r="B814" s="3">
        <v>1</v>
      </c>
      <c r="C814" s="11" t="s">
        <v>1182</v>
      </c>
      <c r="D814" s="3">
        <v>0</v>
      </c>
      <c r="E814" s="3">
        <v>0</v>
      </c>
      <c r="F814" s="3" t="s">
        <v>41</v>
      </c>
      <c r="G814" s="3">
        <v>33</v>
      </c>
      <c r="H814" s="3">
        <v>33</v>
      </c>
    </row>
    <row r="815" spans="1:8" ht="14" x14ac:dyDescent="0.3">
      <c r="A815" s="3">
        <f>IF(B814=1, MAX(A$7:A814)+1, A814)</f>
        <v>46</v>
      </c>
      <c r="B815" s="3">
        <v>2</v>
      </c>
      <c r="C815" s="11" t="s">
        <v>1183</v>
      </c>
      <c r="D815" s="3">
        <v>0</v>
      </c>
      <c r="E815" s="3">
        <v>0</v>
      </c>
      <c r="F815" s="3" t="s">
        <v>41</v>
      </c>
      <c r="G815" s="3">
        <v>33</v>
      </c>
      <c r="H815" s="3">
        <v>33</v>
      </c>
    </row>
    <row r="816" spans="1:8" ht="14" x14ac:dyDescent="0.3">
      <c r="A816" s="3">
        <f>IF(B815=1, MAX(A$7:A815)+1, A815)</f>
        <v>46</v>
      </c>
      <c r="B816" s="3">
        <v>3</v>
      </c>
      <c r="C816" s="11" t="s">
        <v>1184</v>
      </c>
      <c r="D816" s="3">
        <v>0</v>
      </c>
      <c r="E816" s="3">
        <v>0</v>
      </c>
      <c r="F816" s="3" t="s">
        <v>41</v>
      </c>
      <c r="G816" s="3">
        <v>33</v>
      </c>
      <c r="H816" s="3">
        <v>33</v>
      </c>
    </row>
    <row r="817" spans="1:8" ht="14" x14ac:dyDescent="0.3">
      <c r="A817" s="3">
        <f>IF(B816=1, MAX(A$7:A816)+1, A816)</f>
        <v>46</v>
      </c>
      <c r="B817" s="3">
        <v>4</v>
      </c>
      <c r="C817" s="11" t="s">
        <v>1185</v>
      </c>
      <c r="D817" s="3">
        <v>-0.67600000000000005</v>
      </c>
      <c r="E817" s="3">
        <v>-0.47599999999999998</v>
      </c>
      <c r="F817" s="3" t="s">
        <v>8</v>
      </c>
      <c r="G817" s="3">
        <v>33</v>
      </c>
      <c r="H817" s="3">
        <v>33</v>
      </c>
    </row>
    <row r="818" spans="1:8" ht="14" x14ac:dyDescent="0.3">
      <c r="A818" s="3">
        <f>IF(B817=1, MAX(A$7:A817)+1, A817)</f>
        <v>46</v>
      </c>
      <c r="B818" s="3">
        <v>5</v>
      </c>
      <c r="C818" s="11" t="s">
        <v>1186</v>
      </c>
      <c r="D818" s="3">
        <v>-0.72199999999999998</v>
      </c>
      <c r="E818" s="3">
        <v>-0.52200000000000002</v>
      </c>
      <c r="F818" s="3" t="s">
        <v>8</v>
      </c>
      <c r="G818" s="3">
        <v>33</v>
      </c>
      <c r="H818" s="3">
        <v>33</v>
      </c>
    </row>
    <row r="819" spans="1:8" ht="14" x14ac:dyDescent="0.3">
      <c r="A819" s="3">
        <f>IF(B818=1, MAX(A$7:A818)+1, A818)</f>
        <v>46</v>
      </c>
      <c r="B819" s="3">
        <v>6</v>
      </c>
      <c r="C819" s="11" t="s">
        <v>1187</v>
      </c>
      <c r="D819" s="3">
        <v>-0.72199999999999998</v>
      </c>
      <c r="E819" s="3">
        <v>-0.52200000000000002</v>
      </c>
      <c r="F819" s="3" t="s">
        <v>8</v>
      </c>
      <c r="G819" s="3">
        <v>33</v>
      </c>
      <c r="H819" s="3">
        <v>33</v>
      </c>
    </row>
    <row r="820" spans="1:8" ht="14" x14ac:dyDescent="0.3">
      <c r="A820" s="3">
        <f>IF(B819=1, MAX(A$7:A819)+1, A819)</f>
        <v>46</v>
      </c>
      <c r="B820" s="3">
        <v>7</v>
      </c>
      <c r="C820" s="11" t="s">
        <v>1188</v>
      </c>
      <c r="D820" s="3">
        <v>-0.72299999999999998</v>
      </c>
      <c r="E820" s="3">
        <v>-0.52300000000000002</v>
      </c>
      <c r="F820" s="3" t="s">
        <v>8</v>
      </c>
      <c r="G820" s="3">
        <v>33</v>
      </c>
      <c r="H820" s="3">
        <v>33</v>
      </c>
    </row>
    <row r="821" spans="1:8" ht="14" x14ac:dyDescent="0.3">
      <c r="A821" s="3">
        <f>IF(B820=1, MAX(A$7:A820)+1, A820)</f>
        <v>46</v>
      </c>
      <c r="B821" s="3">
        <v>8</v>
      </c>
      <c r="C821" s="11" t="s">
        <v>1189</v>
      </c>
      <c r="D821" s="3">
        <v>-0.72299999999999998</v>
      </c>
      <c r="E821" s="3">
        <v>-0.52300000000000002</v>
      </c>
      <c r="F821" s="3" t="s">
        <v>8</v>
      </c>
      <c r="G821" s="3">
        <v>33</v>
      </c>
      <c r="H821" s="3">
        <v>33</v>
      </c>
    </row>
    <row r="822" spans="1:8" ht="14" x14ac:dyDescent="0.3">
      <c r="A822" s="3">
        <f>IF(B821=1, MAX(A$7:A821)+1, A821)</f>
        <v>46</v>
      </c>
      <c r="B822" s="3">
        <v>9</v>
      </c>
      <c r="C822" s="11" t="s">
        <v>1190</v>
      </c>
      <c r="D822" s="3">
        <v>-0.72599999999999998</v>
      </c>
      <c r="E822" s="3">
        <v>-0.52600000000000002</v>
      </c>
      <c r="F822" s="3" t="s">
        <v>8</v>
      </c>
      <c r="G822" s="3">
        <v>33</v>
      </c>
      <c r="H822" s="3">
        <v>33</v>
      </c>
    </row>
    <row r="823" spans="1:8" ht="14" x14ac:dyDescent="0.3">
      <c r="A823" s="3">
        <f>IF(B822=1, MAX(A$7:A822)+1, A822)</f>
        <v>46</v>
      </c>
      <c r="B823" s="3">
        <v>10</v>
      </c>
      <c r="C823" s="11" t="s">
        <v>1191</v>
      </c>
      <c r="D823" s="3">
        <v>-0.75</v>
      </c>
      <c r="E823" s="3">
        <v>-0.55000000000000004</v>
      </c>
      <c r="F823" s="3" t="s">
        <v>8</v>
      </c>
      <c r="G823" s="3">
        <v>33</v>
      </c>
      <c r="H823" s="3">
        <v>33</v>
      </c>
    </row>
    <row r="824" spans="1:8" ht="14" x14ac:dyDescent="0.3">
      <c r="A824" s="3">
        <f>IF(B823=1, MAX(A$7:A823)+1, A823)</f>
        <v>46</v>
      </c>
      <c r="B824" s="3">
        <v>11</v>
      </c>
      <c r="C824" s="11" t="s">
        <v>1192</v>
      </c>
      <c r="D824" s="3">
        <v>-0.71799999999999997</v>
      </c>
      <c r="E824" s="3">
        <v>-0.51800000000000002</v>
      </c>
      <c r="F824" s="3" t="s">
        <v>8</v>
      </c>
      <c r="G824" s="3">
        <v>33</v>
      </c>
      <c r="H824" s="3">
        <v>33</v>
      </c>
    </row>
    <row r="825" spans="1:8" ht="14" x14ac:dyDescent="0.3">
      <c r="A825" s="3">
        <f>IF(B824=1, MAX(A$7:A824)+1, A824)</f>
        <v>46</v>
      </c>
      <c r="B825" s="3">
        <v>12</v>
      </c>
      <c r="C825" s="11" t="s">
        <v>1193</v>
      </c>
      <c r="D825" s="3">
        <v>-0.75</v>
      </c>
      <c r="E825" s="3">
        <v>-0.55000000000000004</v>
      </c>
      <c r="F825" s="3" t="s">
        <v>8</v>
      </c>
      <c r="G825" s="3">
        <v>33</v>
      </c>
      <c r="H825" s="3">
        <v>33</v>
      </c>
    </row>
    <row r="826" spans="1:8" ht="14" x14ac:dyDescent="0.3">
      <c r="A826" s="3">
        <f>IF(B825=1, MAX(A$7:A825)+1, A825)</f>
        <v>46</v>
      </c>
      <c r="B826" s="3">
        <v>13</v>
      </c>
      <c r="C826" s="11" t="s">
        <v>1194</v>
      </c>
      <c r="D826" s="3">
        <v>-0.751</v>
      </c>
      <c r="E826" s="3">
        <v>-0.55100000000000005</v>
      </c>
      <c r="F826" s="3" t="s">
        <v>8</v>
      </c>
      <c r="G826" s="3">
        <v>33</v>
      </c>
      <c r="H826" s="3">
        <v>33</v>
      </c>
    </row>
    <row r="827" spans="1:8" ht="14" x14ac:dyDescent="0.3">
      <c r="A827" s="3">
        <f>IF(B826=1, MAX(A$7:A826)+1, A826)</f>
        <v>46</v>
      </c>
      <c r="B827" s="3">
        <v>14</v>
      </c>
      <c r="C827" s="11" t="s">
        <v>1195</v>
      </c>
      <c r="D827" s="3">
        <v>-0.71599999999999997</v>
      </c>
      <c r="E827" s="3">
        <v>-0.51600000000000001</v>
      </c>
      <c r="F827" s="3" t="s">
        <v>8</v>
      </c>
      <c r="G827" s="3">
        <v>33</v>
      </c>
      <c r="H827" s="3">
        <v>33</v>
      </c>
    </row>
    <row r="828" spans="1:8" ht="14" x14ac:dyDescent="0.3">
      <c r="A828" s="3">
        <f>IF(B827=1, MAX(A$7:A827)+1, A827)</f>
        <v>46</v>
      </c>
      <c r="B828" s="3">
        <v>15</v>
      </c>
      <c r="C828" s="11" t="s">
        <v>1196</v>
      </c>
      <c r="D828" s="3">
        <v>-0.72</v>
      </c>
      <c r="E828" s="3">
        <v>-0.52</v>
      </c>
      <c r="F828" s="3" t="s">
        <v>8</v>
      </c>
      <c r="G828" s="3">
        <v>33</v>
      </c>
      <c r="H828" s="3">
        <v>33</v>
      </c>
    </row>
    <row r="829" spans="1:8" ht="14" x14ac:dyDescent="0.3">
      <c r="A829" s="3">
        <f>IF(B828=1, MAX(A$7:A828)+1, A828)</f>
        <v>46</v>
      </c>
      <c r="B829" s="3">
        <v>16</v>
      </c>
      <c r="C829" s="11" t="s">
        <v>1197</v>
      </c>
      <c r="D829" s="3">
        <v>-0.75</v>
      </c>
      <c r="E829" s="3">
        <v>-0.55000000000000004</v>
      </c>
      <c r="F829" s="3" t="s">
        <v>8</v>
      </c>
      <c r="G829" s="3">
        <v>33</v>
      </c>
      <c r="H829" s="3">
        <v>33</v>
      </c>
    </row>
    <row r="830" spans="1:8" ht="14" x14ac:dyDescent="0.3">
      <c r="A830" s="3">
        <f>IF(B829=1, MAX(A$7:A829)+1, A829)</f>
        <v>46</v>
      </c>
      <c r="B830" s="3">
        <v>17</v>
      </c>
      <c r="C830" s="11" t="s">
        <v>1198</v>
      </c>
      <c r="D830" s="3">
        <v>-0.72499999999999998</v>
      </c>
      <c r="E830" s="3">
        <v>-0.52500000000000002</v>
      </c>
      <c r="F830" s="3" t="s">
        <v>8</v>
      </c>
      <c r="G830" s="3">
        <v>33</v>
      </c>
      <c r="H830" s="3">
        <v>33</v>
      </c>
    </row>
    <row r="831" spans="1:8" ht="14" x14ac:dyDescent="0.3">
      <c r="A831" s="3">
        <f>IF(B830=1, MAX(A$7:A830)+1, A830)</f>
        <v>46</v>
      </c>
      <c r="B831" s="3">
        <v>18</v>
      </c>
      <c r="C831" s="11" t="s">
        <v>1199</v>
      </c>
      <c r="D831" s="3">
        <v>-0.751</v>
      </c>
      <c r="E831" s="3">
        <v>-0.55100000000000005</v>
      </c>
      <c r="F831" s="3" t="s">
        <v>8</v>
      </c>
      <c r="G831" s="3">
        <v>33</v>
      </c>
      <c r="H831" s="3">
        <v>33</v>
      </c>
    </row>
    <row r="832" spans="1:8" ht="14" x14ac:dyDescent="0.3">
      <c r="A832" s="3">
        <f>IF(B831=1, MAX(A$7:A831)+1, A831)</f>
        <v>46</v>
      </c>
      <c r="B832" s="3">
        <v>19</v>
      </c>
      <c r="C832" s="11" t="s">
        <v>1200</v>
      </c>
      <c r="D832" s="3">
        <v>-0.68500000000000005</v>
      </c>
      <c r="E832" s="3">
        <v>-0.48499999999999999</v>
      </c>
      <c r="F832" s="3" t="s">
        <v>8</v>
      </c>
      <c r="G832" s="3">
        <v>33</v>
      </c>
      <c r="H832" s="3">
        <v>33</v>
      </c>
    </row>
    <row r="833" spans="1:8" ht="14" x14ac:dyDescent="0.3">
      <c r="A833" s="3">
        <f>IF(B832=1, MAX(A$7:A832)+1, A832)</f>
        <v>46</v>
      </c>
      <c r="B833" s="3">
        <v>20</v>
      </c>
      <c r="C833" s="11" t="s">
        <v>1201</v>
      </c>
      <c r="D833" s="3">
        <v>-0.72499999999999998</v>
      </c>
      <c r="E833" s="3">
        <v>-0.52500000000000002</v>
      </c>
      <c r="F833" s="3" t="s">
        <v>8</v>
      </c>
      <c r="G833" s="3">
        <v>33</v>
      </c>
      <c r="H833" s="3">
        <v>33</v>
      </c>
    </row>
    <row r="834" spans="1:8" ht="14" x14ac:dyDescent="0.3">
      <c r="A834" s="3">
        <f>IF(B833=1, MAX(A$7:A833)+1, A833)</f>
        <v>46</v>
      </c>
      <c r="B834" s="3">
        <v>21</v>
      </c>
      <c r="C834" s="11" t="s">
        <v>1202</v>
      </c>
      <c r="D834" s="3">
        <v>-0.68899999999999995</v>
      </c>
      <c r="E834" s="3">
        <v>-0.48899999999999999</v>
      </c>
      <c r="F834" s="3" t="s">
        <v>8</v>
      </c>
      <c r="G834" s="3">
        <v>33</v>
      </c>
      <c r="H834" s="3">
        <v>33</v>
      </c>
    </row>
    <row r="835" spans="1:8" ht="14" x14ac:dyDescent="0.3">
      <c r="A835" s="3">
        <f>IF(B834=1, MAX(A$7:A834)+1, A834)</f>
        <v>46</v>
      </c>
      <c r="B835" s="3">
        <v>22</v>
      </c>
      <c r="C835" s="11" t="s">
        <v>1203</v>
      </c>
      <c r="D835" s="3">
        <v>-0.67</v>
      </c>
      <c r="E835" s="3">
        <v>-0.47</v>
      </c>
      <c r="F835" s="3" t="s">
        <v>8</v>
      </c>
      <c r="G835" s="3">
        <v>33</v>
      </c>
      <c r="H835" s="3">
        <v>33</v>
      </c>
    </row>
    <row r="836" spans="1:8" ht="14" x14ac:dyDescent="0.3">
      <c r="A836" s="3">
        <f>IF(B835=1, MAX(A$7:A835)+1, A835)</f>
        <v>46</v>
      </c>
      <c r="B836" s="3">
        <v>23</v>
      </c>
      <c r="C836" s="11" t="s">
        <v>1204</v>
      </c>
      <c r="D836" s="3">
        <v>-0.72199999999999998</v>
      </c>
      <c r="E836" s="3">
        <v>-0.52200000000000002</v>
      </c>
      <c r="F836" s="3" t="s">
        <v>8</v>
      </c>
      <c r="G836" s="3">
        <v>33</v>
      </c>
      <c r="H836" s="3">
        <v>33</v>
      </c>
    </row>
    <row r="837" spans="1:8" ht="14" x14ac:dyDescent="0.3">
      <c r="A837" s="3">
        <f>IF(B836=1, MAX(A$7:A836)+1, A836)</f>
        <v>46</v>
      </c>
      <c r="B837" s="3">
        <v>24</v>
      </c>
      <c r="C837" s="11" t="s">
        <v>1205</v>
      </c>
      <c r="D837" s="3">
        <v>-0.72199999999999998</v>
      </c>
      <c r="E837" s="3">
        <v>-0.52200000000000002</v>
      </c>
      <c r="F837" s="3" t="s">
        <v>8</v>
      </c>
      <c r="G837" s="3">
        <v>33</v>
      </c>
      <c r="H837" s="3">
        <v>33</v>
      </c>
    </row>
    <row r="838" spans="1:8" ht="14" x14ac:dyDescent="0.3">
      <c r="A838" s="3">
        <f>IF(B837=1, MAX(A$7:A837)+1, A837)</f>
        <v>46</v>
      </c>
      <c r="B838" s="3">
        <v>25</v>
      </c>
      <c r="C838" s="11" t="s">
        <v>1206</v>
      </c>
      <c r="D838" s="3">
        <v>-0.72299999999999998</v>
      </c>
      <c r="E838" s="3">
        <v>-0.52300000000000002</v>
      </c>
      <c r="F838" s="3" t="s">
        <v>8</v>
      </c>
      <c r="G838" s="3">
        <v>33</v>
      </c>
      <c r="H838" s="3">
        <v>33</v>
      </c>
    </row>
    <row r="839" spans="1:8" ht="14" x14ac:dyDescent="0.3">
      <c r="A839" s="3">
        <f>IF(B838=1, MAX(A$7:A838)+1, A838)</f>
        <v>46</v>
      </c>
      <c r="B839" s="3">
        <v>26</v>
      </c>
      <c r="C839" s="11" t="s">
        <v>1207</v>
      </c>
      <c r="D839" s="3">
        <v>-0.72299999999999998</v>
      </c>
      <c r="E839" s="3">
        <v>-0.52300000000000002</v>
      </c>
      <c r="F839" s="3" t="s">
        <v>8</v>
      </c>
      <c r="G839" s="3">
        <v>33</v>
      </c>
      <c r="H839" s="3">
        <v>33</v>
      </c>
    </row>
    <row r="840" spans="1:8" ht="14" x14ac:dyDescent="0.3">
      <c r="A840" s="3">
        <f>IF(B839=1, MAX(A$7:A839)+1, A839)</f>
        <v>46</v>
      </c>
      <c r="B840" s="3">
        <v>27</v>
      </c>
      <c r="C840" s="11" t="s">
        <v>1208</v>
      </c>
      <c r="D840" s="3">
        <v>-0.72499999999999998</v>
      </c>
      <c r="E840" s="3">
        <v>-0.52500000000000002</v>
      </c>
      <c r="F840" s="3" t="s">
        <v>8</v>
      </c>
      <c r="G840" s="3">
        <v>33</v>
      </c>
      <c r="H840" s="3">
        <v>33</v>
      </c>
    </row>
    <row r="841" spans="1:8" ht="14" x14ac:dyDescent="0.3">
      <c r="A841" s="3">
        <f>IF(B840=1, MAX(A$7:A840)+1, A840)</f>
        <v>46</v>
      </c>
      <c r="B841" s="3">
        <v>28</v>
      </c>
      <c r="C841" s="11" t="s">
        <v>1209</v>
      </c>
      <c r="D841" s="3">
        <v>-0.75</v>
      </c>
      <c r="E841" s="3">
        <v>-0.55000000000000004</v>
      </c>
      <c r="F841" s="3" t="s">
        <v>8</v>
      </c>
      <c r="G841" s="3">
        <v>33</v>
      </c>
      <c r="H841" s="3">
        <v>33</v>
      </c>
    </row>
    <row r="842" spans="1:8" ht="14" x14ac:dyDescent="0.3">
      <c r="A842" s="3">
        <f>IF(B841=1, MAX(A$7:A841)+1, A841)</f>
        <v>46</v>
      </c>
      <c r="B842" s="3">
        <v>29</v>
      </c>
      <c r="C842" s="11" t="s">
        <v>1210</v>
      </c>
      <c r="D842" s="3">
        <v>-0.71599999999999997</v>
      </c>
      <c r="E842" s="3">
        <v>-0.51600000000000001</v>
      </c>
      <c r="F842" s="3" t="s">
        <v>8</v>
      </c>
      <c r="G842" s="3">
        <v>33</v>
      </c>
      <c r="H842" s="3">
        <v>33</v>
      </c>
    </row>
    <row r="843" spans="1:8" ht="14" x14ac:dyDescent="0.3">
      <c r="A843" s="3">
        <f>IF(B842=1, MAX(A$7:A842)+1, A842)</f>
        <v>46</v>
      </c>
      <c r="B843" s="3">
        <v>30</v>
      </c>
      <c r="C843" s="11" t="s">
        <v>1211</v>
      </c>
      <c r="D843" s="3">
        <v>-0.75</v>
      </c>
      <c r="E843" s="3">
        <v>-0.55000000000000004</v>
      </c>
      <c r="F843" s="3" t="s">
        <v>8</v>
      </c>
      <c r="G843" s="3">
        <v>33</v>
      </c>
      <c r="H843" s="3">
        <v>33</v>
      </c>
    </row>
    <row r="844" spans="1:8" ht="14" x14ac:dyDescent="0.3">
      <c r="A844" s="3">
        <f>IF(B843=1, MAX(A$7:A843)+1, A843)</f>
        <v>46</v>
      </c>
      <c r="B844" s="3">
        <v>31</v>
      </c>
      <c r="C844" s="11" t="s">
        <v>1212</v>
      </c>
      <c r="D844" s="3">
        <v>-0.751</v>
      </c>
      <c r="E844" s="3">
        <v>-0.55100000000000005</v>
      </c>
      <c r="F844" s="3" t="s">
        <v>8</v>
      </c>
      <c r="G844" s="3">
        <v>33</v>
      </c>
      <c r="H844" s="3">
        <v>33</v>
      </c>
    </row>
    <row r="845" spans="1:8" ht="14" x14ac:dyDescent="0.3">
      <c r="A845" s="3">
        <f>IF(B844=1, MAX(A$7:A844)+1, A844)</f>
        <v>46</v>
      </c>
      <c r="B845" s="3">
        <v>32</v>
      </c>
      <c r="C845" s="11" t="s">
        <v>1213</v>
      </c>
      <c r="D845" s="3">
        <v>-0.71499999999999997</v>
      </c>
      <c r="E845" s="3">
        <v>-0.51500000000000001</v>
      </c>
      <c r="F845" s="3" t="s">
        <v>8</v>
      </c>
      <c r="G845" s="3">
        <v>33</v>
      </c>
      <c r="H845" s="3">
        <v>33</v>
      </c>
    </row>
    <row r="846" spans="1:8" ht="14" x14ac:dyDescent="0.3">
      <c r="A846" s="3">
        <f>IF(B845=1, MAX(A$7:A845)+1, A845)</f>
        <v>46</v>
      </c>
      <c r="B846" s="3">
        <v>33</v>
      </c>
      <c r="C846" s="11" t="s">
        <v>1214</v>
      </c>
      <c r="D846" s="3">
        <v>-0.71599999999999997</v>
      </c>
      <c r="E846" s="3">
        <v>-0.51600000000000001</v>
      </c>
      <c r="F846" s="3" t="s">
        <v>8</v>
      </c>
      <c r="G846" s="3">
        <v>33</v>
      </c>
      <c r="H846" s="3">
        <v>33</v>
      </c>
    </row>
    <row r="847" spans="1:8" ht="14" x14ac:dyDescent="0.3">
      <c r="A847" s="3">
        <f>IF(B846=1, MAX(A$7:A846)+1, A846)</f>
        <v>46</v>
      </c>
      <c r="B847" s="3">
        <v>34</v>
      </c>
      <c r="C847" s="11" t="s">
        <v>1215</v>
      </c>
      <c r="D847" s="3">
        <v>-0.75</v>
      </c>
      <c r="E847" s="3">
        <v>-0.55000000000000004</v>
      </c>
      <c r="F847" s="3" t="s">
        <v>8</v>
      </c>
      <c r="G847" s="3">
        <v>33</v>
      </c>
      <c r="H847" s="3">
        <v>33</v>
      </c>
    </row>
    <row r="848" spans="1:8" ht="14" x14ac:dyDescent="0.3">
      <c r="A848" s="3">
        <f>IF(B847=1, MAX(A$7:A847)+1, A847)</f>
        <v>46</v>
      </c>
      <c r="B848" s="3">
        <v>35</v>
      </c>
      <c r="C848" s="11" t="s">
        <v>1216</v>
      </c>
      <c r="D848" s="3">
        <v>-0.68400000000000005</v>
      </c>
      <c r="E848" s="3">
        <v>-0.48399999999999999</v>
      </c>
      <c r="F848" s="3" t="s">
        <v>8</v>
      </c>
      <c r="G848" s="3">
        <v>33</v>
      </c>
      <c r="H848" s="3">
        <v>33</v>
      </c>
    </row>
    <row r="849" spans="1:8" ht="14" x14ac:dyDescent="0.3">
      <c r="A849" s="3">
        <f>IF(B848=1, MAX(A$7:A848)+1, A848)</f>
        <v>46</v>
      </c>
      <c r="B849" s="3">
        <v>36</v>
      </c>
      <c r="C849" s="11" t="s">
        <v>1217</v>
      </c>
      <c r="D849" s="3">
        <v>-0.72199999999999998</v>
      </c>
      <c r="E849" s="3">
        <v>-0.52200000000000002</v>
      </c>
      <c r="F849" s="3" t="s">
        <v>8</v>
      </c>
      <c r="G849" s="3">
        <v>33</v>
      </c>
      <c r="H849" s="3">
        <v>33</v>
      </c>
    </row>
    <row r="850" spans="1:8" ht="14" x14ac:dyDescent="0.3">
      <c r="A850" s="3">
        <f>IF(B849=1, MAX(A$7:A849)+1, A849)</f>
        <v>46</v>
      </c>
      <c r="B850" s="3">
        <v>37</v>
      </c>
      <c r="C850" s="11" t="s">
        <v>1218</v>
      </c>
      <c r="D850" s="3">
        <v>-0.68799999999999994</v>
      </c>
      <c r="E850" s="3">
        <v>-0.48799999999999999</v>
      </c>
      <c r="F850" s="3" t="s">
        <v>8</v>
      </c>
      <c r="G850" s="3">
        <v>33</v>
      </c>
      <c r="H850" s="3">
        <v>33</v>
      </c>
    </row>
    <row r="851" spans="1:8" ht="14" x14ac:dyDescent="0.3">
      <c r="A851" s="3">
        <f>IF(B850=1, MAX(A$7:A850)+1, A850)</f>
        <v>46</v>
      </c>
      <c r="B851" s="3">
        <v>38</v>
      </c>
      <c r="C851" s="11" t="s">
        <v>1219</v>
      </c>
      <c r="D851" s="3">
        <v>-0.72399999999999998</v>
      </c>
      <c r="E851" s="3">
        <v>-0.52400000000000002</v>
      </c>
      <c r="F851" s="3" t="s">
        <v>8</v>
      </c>
      <c r="G851" s="3">
        <v>33</v>
      </c>
      <c r="H851" s="3">
        <v>33</v>
      </c>
    </row>
    <row r="852" spans="1:8" ht="14" x14ac:dyDescent="0.3">
      <c r="A852" s="3">
        <f>IF(B851=1, MAX(A$7:A851)+1, A851)</f>
        <v>46</v>
      </c>
      <c r="B852" s="3">
        <v>39</v>
      </c>
      <c r="C852" s="11" t="s">
        <v>1220</v>
      </c>
      <c r="D852" s="3">
        <v>-0.61</v>
      </c>
      <c r="E852" s="3">
        <v>-0.31</v>
      </c>
      <c r="F852" s="3" t="s">
        <v>8</v>
      </c>
      <c r="G852" s="3">
        <v>33</v>
      </c>
      <c r="H852" s="3">
        <v>33</v>
      </c>
    </row>
    <row r="853" spans="1:8" ht="14" x14ac:dyDescent="0.3">
      <c r="A853" s="3">
        <f>IF(B852=1, MAX(A$7:A852)+1, A852)</f>
        <v>46</v>
      </c>
      <c r="B853" s="3">
        <v>40</v>
      </c>
      <c r="C853" s="11" t="s">
        <v>1221</v>
      </c>
      <c r="D853" s="3">
        <v>-0.79300000000000004</v>
      </c>
      <c r="E853" s="3">
        <v>-0.59299999999999997</v>
      </c>
      <c r="F853" s="3" t="s">
        <v>8</v>
      </c>
      <c r="G853" s="3">
        <v>33</v>
      </c>
      <c r="H853" s="3">
        <v>33</v>
      </c>
    </row>
    <row r="854" spans="1:8" ht="14" x14ac:dyDescent="0.3">
      <c r="A854" s="3">
        <f>IF(B853=1, MAX(A$7:A853)+1, A853)</f>
        <v>46</v>
      </c>
      <c r="B854" s="3">
        <v>41</v>
      </c>
      <c r="C854" s="11" t="s">
        <v>1222</v>
      </c>
      <c r="D854" s="3">
        <v>-0.74399999999999999</v>
      </c>
      <c r="E854" s="3">
        <v>-0.54400000000000004</v>
      </c>
      <c r="F854" s="3" t="s">
        <v>8</v>
      </c>
      <c r="G854" s="3">
        <v>33</v>
      </c>
      <c r="H854" s="3">
        <v>33</v>
      </c>
    </row>
    <row r="855" spans="1:8" ht="14" x14ac:dyDescent="0.3">
      <c r="A855" s="3">
        <f>IF(B854=1, MAX(A$7:A854)+1, A854)</f>
        <v>46</v>
      </c>
      <c r="B855" s="3">
        <v>42</v>
      </c>
      <c r="C855" s="11" t="s">
        <v>1223</v>
      </c>
      <c r="D855" s="3">
        <v>-0.82</v>
      </c>
      <c r="E855" s="3">
        <v>-0.62</v>
      </c>
      <c r="F855" s="3" t="s">
        <v>8</v>
      </c>
      <c r="G855" s="3">
        <v>33</v>
      </c>
      <c r="H855" s="3">
        <v>33</v>
      </c>
    </row>
    <row r="856" spans="1:8" ht="14" x14ac:dyDescent="0.3">
      <c r="A856" s="3">
        <f>IF(B855=1, MAX(A$7:A855)+1, A855)</f>
        <v>46</v>
      </c>
      <c r="B856" s="3">
        <v>43</v>
      </c>
      <c r="C856" s="11" t="s">
        <v>1224</v>
      </c>
      <c r="D856" s="3">
        <v>-0.63700000000000001</v>
      </c>
      <c r="E856" s="3">
        <v>-0.437</v>
      </c>
      <c r="F856" s="3" t="s">
        <v>8</v>
      </c>
      <c r="G856" s="3">
        <v>33</v>
      </c>
      <c r="H856" s="3">
        <v>33</v>
      </c>
    </row>
    <row r="857" spans="1:8" ht="14" x14ac:dyDescent="0.3">
      <c r="A857" s="3">
        <f>IF(B856=1, MAX(A$7:A856)+1, A856)</f>
        <v>46</v>
      </c>
      <c r="B857" s="3">
        <v>44</v>
      </c>
      <c r="C857" s="11" t="s">
        <v>1225</v>
      </c>
      <c r="D857" s="3">
        <v>-0.64500000000000002</v>
      </c>
      <c r="E857" s="3">
        <v>-0.44500000000000001</v>
      </c>
      <c r="F857" s="3" t="s">
        <v>8</v>
      </c>
      <c r="G857" s="3">
        <v>33</v>
      </c>
      <c r="H857" s="3">
        <v>33</v>
      </c>
    </row>
    <row r="858" spans="1:8" ht="14" x14ac:dyDescent="0.3">
      <c r="A858" s="3">
        <f>IF(B857=1, MAX(A$7:A857)+1, A857)</f>
        <v>46</v>
      </c>
      <c r="B858" s="3">
        <v>45</v>
      </c>
      <c r="C858" s="11" t="s">
        <v>1226</v>
      </c>
      <c r="D858" s="3">
        <v>-0.74099999999999999</v>
      </c>
      <c r="E858" s="3">
        <v>-0.54100000000000004</v>
      </c>
      <c r="F858" s="3" t="s">
        <v>8</v>
      </c>
      <c r="G858" s="3">
        <v>33</v>
      </c>
      <c r="H858" s="3">
        <v>33</v>
      </c>
    </row>
    <row r="859" spans="1:8" ht="14" x14ac:dyDescent="0.3">
      <c r="A859" s="3">
        <f>IF(B858=1, MAX(A$7:A858)+1, A858)</f>
        <v>46</v>
      </c>
      <c r="B859" s="3">
        <v>46</v>
      </c>
      <c r="C859" s="11" t="s">
        <v>1227</v>
      </c>
      <c r="D859" s="3">
        <v>-0.74099999999999999</v>
      </c>
      <c r="E859" s="3">
        <v>-0.54100000000000004</v>
      </c>
      <c r="F859" s="3" t="s">
        <v>8</v>
      </c>
      <c r="G859" s="3">
        <v>33</v>
      </c>
      <c r="H859" s="3">
        <v>33</v>
      </c>
    </row>
    <row r="860" spans="1:8" ht="14" x14ac:dyDescent="0.3">
      <c r="A860" s="3">
        <f>IF(B859=1, MAX(A$7:A859)+1, A859)</f>
        <v>46</v>
      </c>
      <c r="B860" s="3">
        <v>47</v>
      </c>
      <c r="C860" s="11" t="s">
        <v>1228</v>
      </c>
      <c r="D860" s="3">
        <v>-0.74299999999999999</v>
      </c>
      <c r="E860" s="3">
        <v>-0.54300000000000004</v>
      </c>
      <c r="F860" s="3" t="s">
        <v>8</v>
      </c>
      <c r="G860" s="3">
        <v>33</v>
      </c>
      <c r="H860" s="3">
        <v>33</v>
      </c>
    </row>
    <row r="861" spans="1:8" ht="14" x14ac:dyDescent="0.3">
      <c r="A861" s="3">
        <f>IF(B860=1, MAX(A$7:A860)+1, A860)</f>
        <v>46</v>
      </c>
      <c r="B861" s="3">
        <v>48</v>
      </c>
      <c r="C861" s="11" t="s">
        <v>1229</v>
      </c>
      <c r="D861" s="3">
        <v>-0.74099999999999999</v>
      </c>
      <c r="E861" s="3">
        <v>-0.54100000000000004</v>
      </c>
      <c r="F861" s="3" t="s">
        <v>8</v>
      </c>
      <c r="G861" s="3">
        <v>33</v>
      </c>
      <c r="H861" s="3">
        <v>33</v>
      </c>
    </row>
    <row r="862" spans="1:8" ht="14" x14ac:dyDescent="0.3">
      <c r="A862" s="3">
        <f>IF(B861=1, MAX(A$7:A861)+1, A861)</f>
        <v>46</v>
      </c>
      <c r="B862" s="3">
        <v>1</v>
      </c>
      <c r="C862" s="11" t="s">
        <v>1230</v>
      </c>
      <c r="D862" s="3">
        <v>1</v>
      </c>
      <c r="E862" s="3">
        <v>4</v>
      </c>
      <c r="F862" s="3" t="s">
        <v>18</v>
      </c>
      <c r="G862" s="3">
        <v>4</v>
      </c>
      <c r="H862" s="3">
        <v>4</v>
      </c>
    </row>
    <row r="863" spans="1:8" ht="14" x14ac:dyDescent="0.3">
      <c r="A863" s="3">
        <f>IF(B862=1, MAX(A$7:A862)+1, A862)</f>
        <v>47</v>
      </c>
      <c r="B863" s="3">
        <v>2</v>
      </c>
      <c r="C863" s="11" t="s">
        <v>1231</v>
      </c>
      <c r="D863" s="3">
        <v>1</v>
      </c>
      <c r="E863" s="3">
        <v>5</v>
      </c>
      <c r="F863" s="3" t="s">
        <v>18</v>
      </c>
      <c r="G863" s="3">
        <v>4</v>
      </c>
      <c r="H863" s="3">
        <v>4</v>
      </c>
    </row>
    <row r="864" spans="1:8" ht="14" x14ac:dyDescent="0.3">
      <c r="A864" s="3">
        <f>IF(B863=1, MAX(A$7:A863)+1, A863)</f>
        <v>47</v>
      </c>
      <c r="B864" s="3">
        <v>3</v>
      </c>
      <c r="C864" s="11" t="s">
        <v>1232</v>
      </c>
      <c r="D864" s="3">
        <v>1</v>
      </c>
      <c r="E864" s="3">
        <v>5</v>
      </c>
      <c r="F864" s="3" t="s">
        <v>18</v>
      </c>
      <c r="G864" s="3">
        <v>4</v>
      </c>
      <c r="H864" s="3">
        <v>4</v>
      </c>
    </row>
    <row r="865" spans="1:8" ht="14" x14ac:dyDescent="0.3">
      <c r="A865" s="3">
        <f>IF(B864=1, MAX(A$7:A864)+1, A864)</f>
        <v>47</v>
      </c>
      <c r="B865" s="3">
        <v>4</v>
      </c>
      <c r="C865" s="11" t="s">
        <v>1233</v>
      </c>
      <c r="D865" s="3">
        <v>0.6</v>
      </c>
      <c r="E865" s="3">
        <v>1.4</v>
      </c>
      <c r="F865" s="3" t="s">
        <v>886</v>
      </c>
      <c r="G865" s="3">
        <v>4</v>
      </c>
      <c r="H865" s="3">
        <v>4</v>
      </c>
    </row>
    <row r="866" spans="1:8" ht="14" x14ac:dyDescent="0.3">
      <c r="A866" s="3">
        <f>IF(B865=1, MAX(A$7:A865)+1, A865)</f>
        <v>47</v>
      </c>
      <c r="B866" s="3">
        <v>5</v>
      </c>
      <c r="C866" s="11" t="s">
        <v>1234</v>
      </c>
      <c r="D866" s="3">
        <v>0.6</v>
      </c>
      <c r="E866" s="3">
        <v>1.4</v>
      </c>
      <c r="F866" s="3" t="s">
        <v>886</v>
      </c>
      <c r="G866" s="3">
        <v>4</v>
      </c>
      <c r="H866" s="3">
        <v>4</v>
      </c>
    </row>
    <row r="867" spans="1:8" ht="14" x14ac:dyDescent="0.3">
      <c r="A867" s="3">
        <f>IF(B866=1, MAX(A$7:A866)+1, A866)</f>
        <v>47</v>
      </c>
      <c r="B867" s="3">
        <v>1</v>
      </c>
      <c r="C867" s="11" t="s">
        <v>1235</v>
      </c>
      <c r="D867" s="3">
        <v>60</v>
      </c>
      <c r="E867" s="3">
        <v>95</v>
      </c>
      <c r="F867" s="3" t="s">
        <v>18</v>
      </c>
      <c r="G867" s="3">
        <v>4</v>
      </c>
      <c r="H867" s="3">
        <v>4</v>
      </c>
    </row>
    <row r="868" spans="1:8" ht="14" x14ac:dyDescent="0.3">
      <c r="A868" s="3">
        <f>IF(B867=1, MAX(A$7:A867)+1, A867)</f>
        <v>48</v>
      </c>
      <c r="B868" s="3">
        <v>2</v>
      </c>
      <c r="C868" s="11" t="s">
        <v>1236</v>
      </c>
      <c r="D868" s="3">
        <v>3.2</v>
      </c>
      <c r="E868" s="3">
        <v>3.4</v>
      </c>
      <c r="F868" s="3" t="s">
        <v>8</v>
      </c>
      <c r="G868" s="3">
        <v>4</v>
      </c>
      <c r="H868" s="3">
        <v>4</v>
      </c>
    </row>
    <row r="869" spans="1:8" ht="14" x14ac:dyDescent="0.3">
      <c r="A869" s="3">
        <f>IF(B868=1, MAX(A$7:A868)+1, A868)</f>
        <v>48</v>
      </c>
      <c r="B869" s="3">
        <v>3</v>
      </c>
      <c r="C869" s="11" t="s">
        <v>1237</v>
      </c>
      <c r="D869" s="3">
        <v>170</v>
      </c>
      <c r="E869" s="3">
        <v>217</v>
      </c>
      <c r="F869" s="3" t="s">
        <v>18</v>
      </c>
      <c r="G869" s="3">
        <v>4</v>
      </c>
      <c r="H869" s="3">
        <v>4</v>
      </c>
    </row>
    <row r="870" spans="1:8" ht="14" x14ac:dyDescent="0.3">
      <c r="A870" s="3">
        <f>IF(B869=1, MAX(A$7:A869)+1, A869)</f>
        <v>48</v>
      </c>
      <c r="B870" s="3">
        <v>4</v>
      </c>
      <c r="C870" s="11" t="s">
        <v>1238</v>
      </c>
      <c r="D870" s="3">
        <v>260</v>
      </c>
      <c r="E870" s="3">
        <v>355</v>
      </c>
      <c r="F870" s="3" t="s">
        <v>18</v>
      </c>
      <c r="G870" s="3">
        <v>4</v>
      </c>
      <c r="H870" s="3">
        <v>4</v>
      </c>
    </row>
    <row r="871" spans="1:8" ht="14" x14ac:dyDescent="0.3">
      <c r="A871" s="3">
        <f>IF(B870=1, MAX(A$7:A870)+1, A870)</f>
        <v>48</v>
      </c>
      <c r="B871" s="3">
        <v>5</v>
      </c>
      <c r="C871" s="11" t="s">
        <v>1239</v>
      </c>
      <c r="D871" s="3">
        <v>260</v>
      </c>
      <c r="E871" s="3">
        <v>355</v>
      </c>
      <c r="F871" s="3" t="s">
        <v>18</v>
      </c>
      <c r="G871" s="3">
        <v>4</v>
      </c>
      <c r="H871" s="3">
        <v>4</v>
      </c>
    </row>
    <row r="872" spans="1:8" ht="14" x14ac:dyDescent="0.3">
      <c r="A872" s="3">
        <f>IF(B871=1, MAX(A$7:A871)+1, A871)</f>
        <v>48</v>
      </c>
      <c r="B872" s="3">
        <v>6</v>
      </c>
      <c r="C872" s="11" t="s">
        <v>1240</v>
      </c>
      <c r="D872" s="3">
        <v>225</v>
      </c>
      <c r="E872" s="3">
        <v>325</v>
      </c>
      <c r="F872" s="3" t="s">
        <v>18</v>
      </c>
      <c r="G872" s="3">
        <v>4</v>
      </c>
      <c r="H872" s="3">
        <v>4</v>
      </c>
    </row>
    <row r="873" spans="1:8" ht="14" x14ac:dyDescent="0.3">
      <c r="A873" s="3">
        <f>IF(B872=1, MAX(A$7:A872)+1, A872)</f>
        <v>48</v>
      </c>
      <c r="B873" s="3">
        <v>7</v>
      </c>
      <c r="C873" s="11" t="s">
        <v>1241</v>
      </c>
      <c r="D873" s="3">
        <v>225</v>
      </c>
      <c r="E873" s="3">
        <v>325</v>
      </c>
      <c r="F873" s="3" t="s">
        <v>18</v>
      </c>
      <c r="G873" s="3">
        <v>4</v>
      </c>
      <c r="H873" s="3">
        <v>4</v>
      </c>
    </row>
    <row r="874" spans="1:8" ht="14" x14ac:dyDescent="0.3">
      <c r="A874" s="3">
        <f>IF(B873=1, MAX(A$7:A873)+1, A873)</f>
        <v>48</v>
      </c>
      <c r="B874" s="3">
        <v>8</v>
      </c>
      <c r="C874" s="11" t="s">
        <v>1242</v>
      </c>
      <c r="D874" s="3">
        <v>4.9000000000000004</v>
      </c>
      <c r="E874" s="3">
        <v>5.0999999999999996</v>
      </c>
      <c r="F874" s="3" t="s">
        <v>8</v>
      </c>
      <c r="G874" s="3">
        <v>4</v>
      </c>
      <c r="H874" s="3">
        <v>4</v>
      </c>
    </row>
    <row r="875" spans="1:8" ht="14" x14ac:dyDescent="0.3">
      <c r="A875" s="3">
        <f>IF(B874=1, MAX(A$7:A874)+1, A874)</f>
        <v>48</v>
      </c>
      <c r="B875" s="3">
        <v>9</v>
      </c>
      <c r="C875" s="11" t="s">
        <v>1243</v>
      </c>
      <c r="D875" s="3">
        <v>4.9000000000000004</v>
      </c>
      <c r="E875" s="3">
        <v>5.0999999999999996</v>
      </c>
      <c r="F875" s="3" t="s">
        <v>8</v>
      </c>
      <c r="G875" s="3">
        <v>4</v>
      </c>
      <c r="H875" s="3">
        <v>4</v>
      </c>
    </row>
    <row r="876" spans="1:8" ht="14" x14ac:dyDescent="0.3">
      <c r="A876" s="3">
        <f>IF(B875=1, MAX(A$7:A875)+1, A875)</f>
        <v>48</v>
      </c>
      <c r="B876" s="3">
        <v>10</v>
      </c>
      <c r="C876" s="11" t="s">
        <v>1244</v>
      </c>
      <c r="D876" s="3">
        <v>190</v>
      </c>
      <c r="E876" s="3">
        <v>250</v>
      </c>
      <c r="F876" s="3" t="s">
        <v>18</v>
      </c>
      <c r="G876" s="3">
        <v>4</v>
      </c>
      <c r="H876" s="3">
        <v>4</v>
      </c>
    </row>
    <row r="877" spans="1:8" ht="14" x14ac:dyDescent="0.3">
      <c r="A877" s="3">
        <f>IF(B876=1, MAX(A$7:A876)+1, A876)</f>
        <v>48</v>
      </c>
      <c r="B877" s="3">
        <v>11</v>
      </c>
      <c r="C877" s="11" t="s">
        <v>1245</v>
      </c>
      <c r="D877" s="3">
        <v>190</v>
      </c>
      <c r="E877" s="3">
        <v>250</v>
      </c>
      <c r="F877" s="3" t="s">
        <v>18</v>
      </c>
      <c r="G877" s="3">
        <v>4</v>
      </c>
      <c r="H877" s="3">
        <v>4</v>
      </c>
    </row>
    <row r="878" spans="1:8" ht="14" x14ac:dyDescent="0.3">
      <c r="A878" s="3">
        <f>IF(B877=1, MAX(A$7:A877)+1, A877)</f>
        <v>48</v>
      </c>
      <c r="B878" s="3">
        <v>12</v>
      </c>
      <c r="C878" s="11" t="s">
        <v>1246</v>
      </c>
      <c r="D878" s="3">
        <v>30</v>
      </c>
      <c r="E878" s="3">
        <v>63</v>
      </c>
      <c r="F878" s="3" t="s">
        <v>18</v>
      </c>
      <c r="G878" s="3">
        <v>4</v>
      </c>
      <c r="H878" s="3">
        <v>4</v>
      </c>
    </row>
    <row r="879" spans="1:8" ht="14" x14ac:dyDescent="0.3">
      <c r="A879" s="3">
        <f>IF(B878=1, MAX(A$7:A878)+1, A878)</f>
        <v>48</v>
      </c>
      <c r="B879" s="3">
        <v>13</v>
      </c>
      <c r="C879" s="11" t="s">
        <v>1247</v>
      </c>
      <c r="D879" s="3">
        <v>30</v>
      </c>
      <c r="E879" s="3">
        <v>63</v>
      </c>
      <c r="F879" s="3" t="s">
        <v>18</v>
      </c>
      <c r="G879" s="3">
        <v>4</v>
      </c>
      <c r="H879" s="3">
        <v>4</v>
      </c>
    </row>
    <row r="880" spans="1:8" ht="14" x14ac:dyDescent="0.3">
      <c r="A880" s="3">
        <f>IF(B879=1, MAX(A$7:A879)+1, A879)</f>
        <v>48</v>
      </c>
      <c r="B880" s="3">
        <v>14</v>
      </c>
      <c r="C880" s="11" t="s">
        <v>1248</v>
      </c>
      <c r="D880" s="3">
        <v>30</v>
      </c>
      <c r="E880" s="3">
        <v>63</v>
      </c>
      <c r="F880" s="3" t="s">
        <v>18</v>
      </c>
      <c r="G880" s="3">
        <v>4</v>
      </c>
      <c r="H880" s="3">
        <v>4</v>
      </c>
    </row>
    <row r="881" spans="1:8" ht="14" x14ac:dyDescent="0.3">
      <c r="A881" s="3">
        <f>IF(B880=1, MAX(A$7:A880)+1, A880)</f>
        <v>48</v>
      </c>
      <c r="B881" s="3">
        <v>15</v>
      </c>
      <c r="C881" s="11" t="s">
        <v>1249</v>
      </c>
      <c r="D881" s="3">
        <v>30</v>
      </c>
      <c r="E881" s="3">
        <v>63</v>
      </c>
      <c r="F881" s="3" t="s">
        <v>18</v>
      </c>
      <c r="G881" s="3">
        <v>4</v>
      </c>
      <c r="H881" s="3">
        <v>4</v>
      </c>
    </row>
    <row r="882" spans="1:8" ht="14" x14ac:dyDescent="0.3">
      <c r="A882" s="3">
        <f>IF(B881=1, MAX(A$7:A881)+1, A881)</f>
        <v>48</v>
      </c>
      <c r="B882" s="3">
        <v>1</v>
      </c>
      <c r="C882" s="11" t="s">
        <v>1250</v>
      </c>
      <c r="D882" s="3">
        <v>3.45</v>
      </c>
      <c r="E882" s="3">
        <v>3.75</v>
      </c>
      <c r="F882" s="3" t="s">
        <v>8</v>
      </c>
      <c r="G882" s="3">
        <v>4</v>
      </c>
      <c r="H882" s="3">
        <v>4</v>
      </c>
    </row>
    <row r="883" spans="1:8" ht="14" x14ac:dyDescent="0.3">
      <c r="A883" s="3">
        <f>IF(B882=1, MAX(A$7:A882)+1, A882)</f>
        <v>49</v>
      </c>
      <c r="B883" s="3">
        <v>2</v>
      </c>
      <c r="C883" s="11" t="s">
        <v>1251</v>
      </c>
      <c r="D883" s="3">
        <v>3.15</v>
      </c>
      <c r="E883" s="3">
        <v>3.55</v>
      </c>
      <c r="F883" s="3" t="s">
        <v>8</v>
      </c>
      <c r="G883" s="3">
        <v>4</v>
      </c>
      <c r="H883" s="3">
        <v>4</v>
      </c>
    </row>
    <row r="884" spans="1:8" ht="14" x14ac:dyDescent="0.3">
      <c r="A884" s="3">
        <f>IF(B883=1, MAX(A$7:A883)+1, A883)</f>
        <v>49</v>
      </c>
      <c r="B884" s="3">
        <v>3</v>
      </c>
      <c r="C884" s="11" t="s">
        <v>1252</v>
      </c>
      <c r="D884" s="3">
        <v>0.11</v>
      </c>
      <c r="E884" s="3">
        <v>0.3</v>
      </c>
      <c r="F884" s="3" t="s">
        <v>8</v>
      </c>
      <c r="G884" s="3">
        <v>4</v>
      </c>
      <c r="H884" s="3">
        <v>4</v>
      </c>
    </row>
    <row r="885" spans="1:8" ht="14" x14ac:dyDescent="0.3">
      <c r="A885" s="3">
        <f>IF(B884=1, MAX(A$7:A884)+1, A884)</f>
        <v>49</v>
      </c>
      <c r="B885" s="3">
        <v>4</v>
      </c>
      <c r="C885" s="11" t="s">
        <v>1253</v>
      </c>
      <c r="D885" s="3">
        <v>5</v>
      </c>
      <c r="E885" s="3">
        <v>24</v>
      </c>
      <c r="F885" s="3" t="s">
        <v>33</v>
      </c>
      <c r="G885" s="3">
        <v>4</v>
      </c>
      <c r="H885" s="3">
        <v>4</v>
      </c>
    </row>
    <row r="886" spans="1:8" ht="14" x14ac:dyDescent="0.3">
      <c r="A886" s="3">
        <f>IF(B885=1, MAX(A$7:A885)+1, A885)</f>
        <v>49</v>
      </c>
      <c r="B886" s="3">
        <v>5</v>
      </c>
      <c r="C886" s="11" t="s">
        <v>1254</v>
      </c>
      <c r="D886" s="3">
        <v>5</v>
      </c>
      <c r="E886" s="3">
        <v>24</v>
      </c>
      <c r="F886" s="3" t="s">
        <v>33</v>
      </c>
      <c r="G886" s="3">
        <v>4</v>
      </c>
      <c r="H886" s="3">
        <v>4</v>
      </c>
    </row>
    <row r="887" spans="1:8" ht="14" x14ac:dyDescent="0.3">
      <c r="A887" s="3">
        <f>IF(B886=1, MAX(A$7:A886)+1, A886)</f>
        <v>49</v>
      </c>
      <c r="B887" s="3">
        <v>6</v>
      </c>
      <c r="C887" s="11" t="s">
        <v>1255</v>
      </c>
      <c r="D887" s="3">
        <v>2.36</v>
      </c>
      <c r="E887" s="3">
        <v>2.64</v>
      </c>
      <c r="F887" s="3" t="s">
        <v>8</v>
      </c>
      <c r="G887" s="3">
        <v>4</v>
      </c>
      <c r="H887" s="3">
        <v>4</v>
      </c>
    </row>
    <row r="888" spans="1:8" ht="14" x14ac:dyDescent="0.3">
      <c r="A888" s="3">
        <f>IF(B887=1, MAX(A$7:A887)+1, A887)</f>
        <v>49</v>
      </c>
      <c r="B888" s="3">
        <v>7</v>
      </c>
      <c r="C888" s="11" t="s">
        <v>1256</v>
      </c>
      <c r="D888" s="3">
        <v>2.149</v>
      </c>
      <c r="E888" s="3">
        <v>2.4510000000000001</v>
      </c>
      <c r="F888" s="3" t="s">
        <v>8</v>
      </c>
      <c r="G888" s="3">
        <v>4</v>
      </c>
      <c r="H888" s="3">
        <v>4</v>
      </c>
    </row>
    <row r="889" spans="1:8" ht="14" x14ac:dyDescent="0.3">
      <c r="A889" s="3">
        <f>IF(B888=1, MAX(A$7:A888)+1, A888)</f>
        <v>49</v>
      </c>
      <c r="B889" s="3">
        <v>8</v>
      </c>
      <c r="C889" s="11" t="s">
        <v>1257</v>
      </c>
      <c r="D889" s="3">
        <v>0.1</v>
      </c>
      <c r="E889" s="3">
        <v>0.45</v>
      </c>
      <c r="F889" s="3" t="s">
        <v>8</v>
      </c>
      <c r="G889" s="3">
        <v>4</v>
      </c>
      <c r="H889" s="3">
        <v>4</v>
      </c>
    </row>
    <row r="890" spans="1:8" ht="14" x14ac:dyDescent="0.3">
      <c r="A890" s="3">
        <f>IF(B889=1, MAX(A$7:A889)+1, A889)</f>
        <v>49</v>
      </c>
      <c r="B890" s="3">
        <v>9</v>
      </c>
      <c r="C890" s="11" t="s">
        <v>1258</v>
      </c>
      <c r="D890" s="3">
        <v>69</v>
      </c>
      <c r="E890" s="3">
        <v>152</v>
      </c>
      <c r="F890" s="3" t="s">
        <v>17</v>
      </c>
      <c r="G890" s="3">
        <v>4</v>
      </c>
      <c r="H890" s="3">
        <v>4</v>
      </c>
    </row>
    <row r="891" spans="1:8" ht="14" x14ac:dyDescent="0.3">
      <c r="A891" s="3">
        <f>IF(B890=1, MAX(A$7:A890)+1, A890)</f>
        <v>49</v>
      </c>
      <c r="B891" s="3">
        <v>10</v>
      </c>
      <c r="C891" s="11" t="s">
        <v>1259</v>
      </c>
      <c r="D891" s="3">
        <v>5</v>
      </c>
      <c r="E891" s="3">
        <v>20</v>
      </c>
      <c r="F891" s="3" t="s">
        <v>33</v>
      </c>
      <c r="G891" s="3">
        <v>4</v>
      </c>
      <c r="H891" s="3">
        <v>4</v>
      </c>
    </row>
    <row r="892" spans="1:8" ht="14" x14ac:dyDescent="0.3">
      <c r="A892" s="3">
        <f>IF(B891=1, MAX(A$7:A891)+1, A891)</f>
        <v>49</v>
      </c>
      <c r="B892" s="3">
        <v>11</v>
      </c>
      <c r="C892" s="11" t="s">
        <v>1260</v>
      </c>
      <c r="D892" s="3">
        <v>1.4</v>
      </c>
      <c r="E892" s="3">
        <v>3</v>
      </c>
      <c r="F892" s="3" t="s">
        <v>42</v>
      </c>
      <c r="G892" s="3">
        <v>4</v>
      </c>
      <c r="H892" s="3">
        <v>4</v>
      </c>
    </row>
    <row r="893" spans="1:8" ht="14" x14ac:dyDescent="0.3">
      <c r="A893" s="3">
        <f>IF(B892=1, MAX(A$7:A892)+1, A892)</f>
        <v>49</v>
      </c>
      <c r="B893" s="3">
        <v>12</v>
      </c>
      <c r="C893" s="11" t="s">
        <v>1261</v>
      </c>
      <c r="D893" s="3">
        <v>-0.1</v>
      </c>
      <c r="E893" s="3">
        <v>0.1</v>
      </c>
      <c r="F893" s="3" t="s">
        <v>8</v>
      </c>
      <c r="G893" s="3">
        <v>4</v>
      </c>
      <c r="H893" s="3">
        <v>4</v>
      </c>
    </row>
    <row r="894" spans="1:8" ht="14" x14ac:dyDescent="0.3">
      <c r="A894" s="3">
        <f>IF(B893=1, MAX(A$7:A893)+1, A893)</f>
        <v>49</v>
      </c>
      <c r="B894" s="3">
        <v>13</v>
      </c>
      <c r="C894" s="11" t="s">
        <v>1262</v>
      </c>
      <c r="D894" s="3">
        <v>8</v>
      </c>
      <c r="E894" s="3">
        <v>12</v>
      </c>
      <c r="F894" s="3" t="s">
        <v>900</v>
      </c>
      <c r="G894" s="3">
        <v>4</v>
      </c>
      <c r="H894" s="3">
        <v>4</v>
      </c>
    </row>
    <row r="895" spans="1:8" ht="14" x14ac:dyDescent="0.3">
      <c r="A895" s="3">
        <f>IF(B894=1, MAX(A$7:A894)+1, A894)</f>
        <v>49</v>
      </c>
      <c r="B895" s="3">
        <v>14</v>
      </c>
      <c r="C895" s="11" t="s">
        <v>1263</v>
      </c>
      <c r="D895" s="3">
        <v>3.0449999999999999</v>
      </c>
      <c r="E895" s="3">
        <v>3.2</v>
      </c>
      <c r="F895" s="3" t="s">
        <v>8</v>
      </c>
      <c r="G895" s="3">
        <v>4</v>
      </c>
      <c r="H895" s="3">
        <v>4</v>
      </c>
    </row>
    <row r="896" spans="1:8" ht="14" x14ac:dyDescent="0.3">
      <c r="A896" s="3">
        <f>IF(B895=1, MAX(A$7:A895)+1, A895)</f>
        <v>49</v>
      </c>
      <c r="B896" s="3">
        <v>15</v>
      </c>
      <c r="C896" s="11" t="s">
        <v>1264</v>
      </c>
      <c r="D896" s="3">
        <v>3.0449999999999999</v>
      </c>
      <c r="E896" s="3">
        <v>3.2</v>
      </c>
      <c r="F896" s="3" t="s">
        <v>8</v>
      </c>
      <c r="G896" s="3">
        <v>4</v>
      </c>
      <c r="H896" s="3">
        <v>4</v>
      </c>
    </row>
    <row r="897" spans="1:8" ht="14" x14ac:dyDescent="0.3">
      <c r="A897" s="3">
        <f>IF(B896=1, MAX(A$7:A896)+1, A896)</f>
        <v>49</v>
      </c>
      <c r="B897" s="3">
        <v>16</v>
      </c>
      <c r="C897" s="11" t="s">
        <v>1265</v>
      </c>
      <c r="D897" s="3">
        <v>3.0449999999999999</v>
      </c>
      <c r="E897" s="3">
        <v>3.2</v>
      </c>
      <c r="F897" s="3" t="s">
        <v>8</v>
      </c>
      <c r="G897" s="3">
        <v>4</v>
      </c>
      <c r="H897" s="3">
        <v>4</v>
      </c>
    </row>
    <row r="898" spans="1:8" ht="14" x14ac:dyDescent="0.3">
      <c r="A898" s="3">
        <f>IF(B897=1, MAX(A$7:A897)+1, A897)</f>
        <v>49</v>
      </c>
      <c r="B898" s="3">
        <v>17</v>
      </c>
      <c r="C898" s="11" t="s">
        <v>1266</v>
      </c>
      <c r="D898" s="3">
        <v>3.0449999999999999</v>
      </c>
      <c r="E898" s="3">
        <v>3.2</v>
      </c>
      <c r="F898" s="3" t="s">
        <v>8</v>
      </c>
      <c r="G898" s="3">
        <v>4</v>
      </c>
      <c r="H898" s="3">
        <v>4</v>
      </c>
    </row>
    <row r="899" spans="1:8" ht="14" x14ac:dyDescent="0.3">
      <c r="A899" s="3">
        <f>IF(B898=1, MAX(A$7:A898)+1, A898)</f>
        <v>49</v>
      </c>
      <c r="B899" s="3">
        <v>1</v>
      </c>
      <c r="C899" s="11" t="s">
        <v>1267</v>
      </c>
      <c r="D899" s="3">
        <v>0.8</v>
      </c>
      <c r="E899" s="3">
        <v>1</v>
      </c>
      <c r="F899" s="3" t="s">
        <v>8</v>
      </c>
      <c r="G899" s="3">
        <v>4</v>
      </c>
      <c r="H899" s="3">
        <v>4</v>
      </c>
    </row>
    <row r="900" spans="1:8" ht="14" x14ac:dyDescent="0.3">
      <c r="A900" s="3">
        <f>IF(B899=1, MAX(A$7:A899)+1, A899)</f>
        <v>50</v>
      </c>
      <c r="B900" s="3">
        <v>2</v>
      </c>
      <c r="C900" s="11" t="s">
        <v>1268</v>
      </c>
      <c r="D900" s="3">
        <v>0.5</v>
      </c>
      <c r="E900" s="3">
        <v>0.8</v>
      </c>
      <c r="F900" s="3" t="s">
        <v>8</v>
      </c>
      <c r="G900" s="3">
        <v>4</v>
      </c>
      <c r="H900" s="3">
        <v>4</v>
      </c>
    </row>
    <row r="901" spans="1:8" ht="14" x14ac:dyDescent="0.3">
      <c r="A901" s="3">
        <f>IF(B900=1, MAX(A$7:A900)+1, A900)</f>
        <v>50</v>
      </c>
      <c r="B901" s="3">
        <v>3</v>
      </c>
      <c r="C901" s="11" t="s">
        <v>1269</v>
      </c>
      <c r="D901" s="3">
        <v>0.8</v>
      </c>
      <c r="E901" s="3">
        <v>1</v>
      </c>
      <c r="F901" s="3" t="s">
        <v>8</v>
      </c>
      <c r="G901" s="3">
        <v>4</v>
      </c>
      <c r="H901" s="3">
        <v>4</v>
      </c>
    </row>
    <row r="902" spans="1:8" ht="14" x14ac:dyDescent="0.3">
      <c r="A902" s="3">
        <f>IF(B901=1, MAX(A$7:A901)+1, A901)</f>
        <v>50</v>
      </c>
      <c r="B902" s="3">
        <v>4</v>
      </c>
      <c r="C902" s="11" t="s">
        <v>1270</v>
      </c>
      <c r="D902" s="3">
        <v>0.5</v>
      </c>
      <c r="E902" s="3">
        <v>0.8</v>
      </c>
      <c r="F902" s="3" t="s">
        <v>8</v>
      </c>
      <c r="G902" s="3">
        <v>4</v>
      </c>
      <c r="H902" s="3">
        <v>4</v>
      </c>
    </row>
    <row r="903" spans="1:8" ht="14" x14ac:dyDescent="0.3">
      <c r="A903" s="3">
        <f>IF(B902=1, MAX(A$7:A902)+1, A902)</f>
        <v>50</v>
      </c>
      <c r="B903" s="3">
        <v>5</v>
      </c>
      <c r="C903" s="11" t="s">
        <v>1271</v>
      </c>
      <c r="D903" s="3">
        <v>0.8</v>
      </c>
      <c r="E903" s="3">
        <v>1</v>
      </c>
      <c r="F903" s="3" t="s">
        <v>8</v>
      </c>
      <c r="G903" s="3">
        <v>4</v>
      </c>
      <c r="H903" s="3">
        <v>4</v>
      </c>
    </row>
    <row r="904" spans="1:8" ht="14" x14ac:dyDescent="0.3">
      <c r="A904" s="3">
        <f>IF(B903=1, MAX(A$7:A903)+1, A903)</f>
        <v>50</v>
      </c>
      <c r="B904" s="3">
        <v>6</v>
      </c>
      <c r="C904" s="11" t="s">
        <v>1272</v>
      </c>
      <c r="D904" s="3">
        <v>0.5</v>
      </c>
      <c r="E904" s="3">
        <v>0.8</v>
      </c>
      <c r="F904" s="3" t="s">
        <v>8</v>
      </c>
      <c r="G904" s="3">
        <v>4</v>
      </c>
      <c r="H904" s="3">
        <v>4</v>
      </c>
    </row>
    <row r="905" spans="1:8" ht="14" x14ac:dyDescent="0.3">
      <c r="A905" s="3">
        <f>IF(B904=1, MAX(A$7:A904)+1, A904)</f>
        <v>50</v>
      </c>
      <c r="B905" s="3">
        <v>7</v>
      </c>
      <c r="C905" s="11" t="s">
        <v>1273</v>
      </c>
      <c r="D905" s="3">
        <v>0.8</v>
      </c>
      <c r="E905" s="3">
        <v>1</v>
      </c>
      <c r="F905" s="3" t="s">
        <v>8</v>
      </c>
      <c r="G905" s="3">
        <v>4</v>
      </c>
      <c r="H905" s="3">
        <v>4</v>
      </c>
    </row>
    <row r="906" spans="1:8" ht="14" x14ac:dyDescent="0.3">
      <c r="A906" s="3">
        <f>IF(B905=1, MAX(A$7:A905)+1, A905)</f>
        <v>50</v>
      </c>
      <c r="B906" s="3">
        <v>8</v>
      </c>
      <c r="C906" s="11" t="s">
        <v>1274</v>
      </c>
      <c r="D906" s="3">
        <v>0.5</v>
      </c>
      <c r="E906" s="3">
        <v>0.8</v>
      </c>
      <c r="F906" s="3" t="s">
        <v>8</v>
      </c>
      <c r="G906" s="3">
        <v>4</v>
      </c>
      <c r="H906" s="3">
        <v>4</v>
      </c>
    </row>
    <row r="907" spans="1:8" ht="14" x14ac:dyDescent="0.3">
      <c r="A907" s="3">
        <f>IF(B906=1, MAX(A$7:A906)+1, A906)</f>
        <v>50</v>
      </c>
      <c r="B907" s="3">
        <v>9</v>
      </c>
      <c r="C907" s="11" t="s">
        <v>1275</v>
      </c>
      <c r="D907" s="3">
        <v>0.8</v>
      </c>
      <c r="E907" s="3">
        <v>1</v>
      </c>
      <c r="F907" s="3" t="s">
        <v>8</v>
      </c>
      <c r="G907" s="3">
        <v>4</v>
      </c>
      <c r="H907" s="3">
        <v>4</v>
      </c>
    </row>
    <row r="908" spans="1:8" ht="14" x14ac:dyDescent="0.3">
      <c r="A908" s="3">
        <f>IF(B907=1, MAX(A$7:A907)+1, A907)</f>
        <v>50</v>
      </c>
      <c r="B908" s="3">
        <v>10</v>
      </c>
      <c r="C908" s="11" t="s">
        <v>1276</v>
      </c>
      <c r="D908" s="3">
        <v>0.5</v>
      </c>
      <c r="E908" s="3">
        <v>0.8</v>
      </c>
      <c r="F908" s="3" t="s">
        <v>8</v>
      </c>
      <c r="G908" s="3">
        <v>4</v>
      </c>
      <c r="H908" s="3">
        <v>4</v>
      </c>
    </row>
    <row r="909" spans="1:8" ht="14" x14ac:dyDescent="0.3">
      <c r="A909" s="3">
        <f>IF(B908=1, MAX(A$7:A908)+1, A908)</f>
        <v>50</v>
      </c>
      <c r="B909" s="3">
        <v>11</v>
      </c>
      <c r="C909" s="11" t="s">
        <v>1277</v>
      </c>
      <c r="D909" s="3">
        <v>0.8</v>
      </c>
      <c r="E909" s="3">
        <v>1</v>
      </c>
      <c r="F909" s="3" t="s">
        <v>8</v>
      </c>
      <c r="G909" s="3">
        <v>4</v>
      </c>
      <c r="H909" s="3">
        <v>4</v>
      </c>
    </row>
    <row r="910" spans="1:8" ht="14" x14ac:dyDescent="0.3">
      <c r="A910" s="3">
        <f>IF(B909=1, MAX(A$7:A909)+1, A909)</f>
        <v>50</v>
      </c>
      <c r="B910" s="3">
        <v>12</v>
      </c>
      <c r="C910" s="11" t="s">
        <v>1278</v>
      </c>
      <c r="D910" s="3">
        <v>0.5</v>
      </c>
      <c r="E910" s="3">
        <v>0.8</v>
      </c>
      <c r="F910" s="3" t="s">
        <v>8</v>
      </c>
      <c r="G910" s="3">
        <v>4</v>
      </c>
      <c r="H910" s="3">
        <v>4</v>
      </c>
    </row>
    <row r="911" spans="1:8" ht="14" x14ac:dyDescent="0.3">
      <c r="A911" s="3">
        <f>IF(B910=1, MAX(A$7:A910)+1, A910)</f>
        <v>50</v>
      </c>
      <c r="B911" s="3">
        <v>1</v>
      </c>
      <c r="C911" s="11" t="s">
        <v>1279</v>
      </c>
      <c r="D911" s="3">
        <v>60</v>
      </c>
      <c r="E911" s="3">
        <v>120</v>
      </c>
      <c r="F911" s="3" t="s">
        <v>18</v>
      </c>
      <c r="G911" s="3">
        <v>4</v>
      </c>
      <c r="H911" s="3">
        <v>4</v>
      </c>
    </row>
    <row r="912" spans="1:8" ht="14" x14ac:dyDescent="0.3">
      <c r="A912" s="3">
        <f>IF(B911=1, MAX(A$7:A911)+1, A911)</f>
        <v>51</v>
      </c>
      <c r="B912" s="3">
        <v>2</v>
      </c>
      <c r="C912" s="11" t="s">
        <v>1280</v>
      </c>
      <c r="D912" s="3">
        <v>300</v>
      </c>
      <c r="E912" s="3">
        <v>440</v>
      </c>
      <c r="F912" s="3" t="s">
        <v>18</v>
      </c>
      <c r="G912" s="3">
        <v>4</v>
      </c>
      <c r="H912" s="3">
        <v>4</v>
      </c>
    </row>
    <row r="913" spans="1:8" ht="14" x14ac:dyDescent="0.3">
      <c r="A913" s="3">
        <f>IF(B912=1, MAX(A$7:A912)+1, A912)</f>
        <v>51</v>
      </c>
      <c r="B913" s="3">
        <v>3</v>
      </c>
      <c r="C913" s="11" t="s">
        <v>1281</v>
      </c>
      <c r="D913" s="3">
        <v>250</v>
      </c>
      <c r="E913" s="3">
        <v>350</v>
      </c>
      <c r="F913" s="3" t="s">
        <v>42</v>
      </c>
      <c r="G913" s="3">
        <v>4</v>
      </c>
      <c r="H913" s="3">
        <v>4</v>
      </c>
    </row>
    <row r="914" spans="1:8" ht="14" x14ac:dyDescent="0.3">
      <c r="A914" s="3">
        <f>IF(B913=1, MAX(A$7:A913)+1, A913)</f>
        <v>51</v>
      </c>
      <c r="B914" s="3">
        <v>4</v>
      </c>
      <c r="C914" s="11" t="s">
        <v>1282</v>
      </c>
      <c r="D914" s="3">
        <v>1500</v>
      </c>
      <c r="E914" s="3">
        <v>2200</v>
      </c>
      <c r="F914" s="3" t="s">
        <v>42</v>
      </c>
      <c r="G914" s="3">
        <v>4</v>
      </c>
      <c r="H914" s="3">
        <v>4</v>
      </c>
    </row>
    <row r="915" spans="1:8" ht="14" x14ac:dyDescent="0.3">
      <c r="A915" s="3">
        <f>IF(B914=1, MAX(A$7:A914)+1, A914)</f>
        <v>51</v>
      </c>
      <c r="B915" s="3">
        <v>5</v>
      </c>
      <c r="C915" s="11" t="s">
        <v>1283</v>
      </c>
      <c r="D915" s="3">
        <v>25</v>
      </c>
      <c r="E915" s="3">
        <v>55</v>
      </c>
      <c r="F915" s="3" t="s">
        <v>913</v>
      </c>
      <c r="G915" s="3">
        <v>4</v>
      </c>
      <c r="H915" s="3">
        <v>4</v>
      </c>
    </row>
    <row r="916" spans="1:8" ht="14" x14ac:dyDescent="0.3">
      <c r="A916" s="3">
        <f>IF(B915=1, MAX(A$7:A915)+1, A915)</f>
        <v>51</v>
      </c>
      <c r="B916" s="3">
        <v>6</v>
      </c>
      <c r="C916" s="11" t="s">
        <v>1284</v>
      </c>
      <c r="D916" s="3">
        <v>60</v>
      </c>
      <c r="E916" s="3">
        <v>120</v>
      </c>
      <c r="F916" s="3" t="s">
        <v>18</v>
      </c>
      <c r="G916" s="3">
        <v>4</v>
      </c>
      <c r="H916" s="3">
        <v>4</v>
      </c>
    </row>
    <row r="917" spans="1:8" ht="14" x14ac:dyDescent="0.3">
      <c r="A917" s="3">
        <f>IF(B916=1, MAX(A$7:A916)+1, A916)</f>
        <v>51</v>
      </c>
      <c r="B917" s="3">
        <v>7</v>
      </c>
      <c r="C917" s="11" t="s">
        <v>1285</v>
      </c>
      <c r="D917" s="3">
        <v>300</v>
      </c>
      <c r="E917" s="3">
        <v>440</v>
      </c>
      <c r="F917" s="3" t="s">
        <v>18</v>
      </c>
      <c r="G917" s="3">
        <v>4</v>
      </c>
      <c r="H917" s="3">
        <v>4</v>
      </c>
    </row>
    <row r="918" spans="1:8" ht="14" x14ac:dyDescent="0.3">
      <c r="A918" s="3">
        <f>IF(B917=1, MAX(A$7:A917)+1, A917)</f>
        <v>51</v>
      </c>
      <c r="B918" s="3">
        <v>8</v>
      </c>
      <c r="C918" s="11" t="s">
        <v>1286</v>
      </c>
      <c r="D918" s="3">
        <v>250</v>
      </c>
      <c r="E918" s="3">
        <v>350</v>
      </c>
      <c r="F918" s="3" t="s">
        <v>42</v>
      </c>
      <c r="G918" s="3">
        <v>4</v>
      </c>
      <c r="H918" s="3">
        <v>4</v>
      </c>
    </row>
    <row r="919" spans="1:8" ht="14" x14ac:dyDescent="0.3">
      <c r="A919" s="3">
        <f>IF(B918=1, MAX(A$7:A918)+1, A918)</f>
        <v>51</v>
      </c>
      <c r="B919" s="3">
        <v>9</v>
      </c>
      <c r="C919" s="11" t="s">
        <v>1287</v>
      </c>
      <c r="D919" s="3">
        <v>1500</v>
      </c>
      <c r="E919" s="3">
        <v>2200</v>
      </c>
      <c r="F919" s="3" t="s">
        <v>42</v>
      </c>
      <c r="G919" s="3">
        <v>4</v>
      </c>
      <c r="H919" s="3">
        <v>4</v>
      </c>
    </row>
    <row r="920" spans="1:8" ht="14" x14ac:dyDescent="0.3">
      <c r="A920" s="3">
        <f>IF(B919=1, MAX(A$7:A919)+1, A919)</f>
        <v>51</v>
      </c>
      <c r="B920" s="3">
        <v>10</v>
      </c>
      <c r="C920" s="11" t="s">
        <v>1288</v>
      </c>
      <c r="D920" s="3">
        <v>25</v>
      </c>
      <c r="E920" s="3">
        <v>55</v>
      </c>
      <c r="F920" s="3" t="s">
        <v>913</v>
      </c>
      <c r="G920" s="3">
        <v>4</v>
      </c>
      <c r="H920" s="3">
        <v>4</v>
      </c>
    </row>
    <row r="921" spans="1:8" ht="14" x14ac:dyDescent="0.3">
      <c r="A921" s="3">
        <f>IF(B920=1, MAX(A$7:A920)+1, A920)</f>
        <v>51</v>
      </c>
      <c r="B921" s="3">
        <v>1</v>
      </c>
      <c r="C921" s="11" t="s">
        <v>1289</v>
      </c>
      <c r="D921" s="3">
        <v>3.45</v>
      </c>
      <c r="E921" s="3">
        <v>3.75</v>
      </c>
      <c r="F921" s="3" t="s">
        <v>8</v>
      </c>
      <c r="G921" s="3">
        <v>4</v>
      </c>
      <c r="H921" s="3">
        <v>4</v>
      </c>
    </row>
    <row r="922" spans="1:8" ht="14" x14ac:dyDescent="0.3">
      <c r="A922" s="3">
        <f>IF(B921=1, MAX(A$7:A921)+1, A921)</f>
        <v>52</v>
      </c>
      <c r="B922" s="3">
        <v>2</v>
      </c>
      <c r="C922" s="11" t="s">
        <v>1290</v>
      </c>
      <c r="D922" s="3">
        <v>3.15</v>
      </c>
      <c r="E922" s="3">
        <v>3.55</v>
      </c>
      <c r="F922" s="3" t="s">
        <v>8</v>
      </c>
      <c r="G922" s="3">
        <v>4</v>
      </c>
      <c r="H922" s="3">
        <v>4</v>
      </c>
    </row>
    <row r="923" spans="1:8" ht="14" x14ac:dyDescent="0.3">
      <c r="A923" s="3">
        <f>IF(B922=1, MAX(A$7:A922)+1, A922)</f>
        <v>52</v>
      </c>
      <c r="B923" s="3">
        <v>3</v>
      </c>
      <c r="C923" s="11" t="s">
        <v>1291</v>
      </c>
      <c r="D923" s="3">
        <v>0.2</v>
      </c>
      <c r="E923" s="3">
        <v>0.3</v>
      </c>
      <c r="F923" s="3" t="s">
        <v>8</v>
      </c>
      <c r="G923" s="3">
        <v>4</v>
      </c>
      <c r="H923" s="3">
        <v>4</v>
      </c>
    </row>
    <row r="924" spans="1:8" ht="14" x14ac:dyDescent="0.3">
      <c r="A924" s="3">
        <f>IF(B923=1, MAX(A$7:A923)+1, A923)</f>
        <v>52</v>
      </c>
      <c r="B924" s="3">
        <v>4</v>
      </c>
      <c r="C924" s="11" t="s">
        <v>1292</v>
      </c>
      <c r="D924" s="3">
        <v>22.2</v>
      </c>
      <c r="E924" s="3">
        <v>23.78</v>
      </c>
      <c r="F924" s="3" t="s">
        <v>8</v>
      </c>
      <c r="G924" s="3">
        <v>4</v>
      </c>
      <c r="H924" s="3">
        <v>4</v>
      </c>
    </row>
    <row r="925" spans="1:8" ht="14" x14ac:dyDescent="0.3">
      <c r="A925" s="3">
        <f>IF(B924=1, MAX(A$7:A924)+1, A924)</f>
        <v>52</v>
      </c>
      <c r="B925" s="3">
        <v>5</v>
      </c>
      <c r="C925" s="11" t="s">
        <v>1293</v>
      </c>
      <c r="D925" s="3">
        <v>30.5</v>
      </c>
      <c r="E925" s="3">
        <v>32.68</v>
      </c>
      <c r="F925" s="3" t="s">
        <v>8</v>
      </c>
      <c r="G925" s="3">
        <v>4</v>
      </c>
      <c r="H925" s="3">
        <v>4</v>
      </c>
    </row>
    <row r="926" spans="1:8" ht="14" x14ac:dyDescent="0.3">
      <c r="A926" s="3">
        <f>IF(B925=1, MAX(A$7:A925)+1, A925)</f>
        <v>52</v>
      </c>
      <c r="B926" s="3">
        <v>6</v>
      </c>
      <c r="C926" s="11" t="s">
        <v>1294</v>
      </c>
      <c r="D926" s="3">
        <v>3.45</v>
      </c>
      <c r="E926" s="3">
        <v>3.75</v>
      </c>
      <c r="F926" s="3" t="s">
        <v>8</v>
      </c>
      <c r="G926" s="3">
        <v>4</v>
      </c>
      <c r="H926" s="3">
        <v>4</v>
      </c>
    </row>
    <row r="927" spans="1:8" ht="14" x14ac:dyDescent="0.3">
      <c r="A927" s="3">
        <f>IF(B926=1, MAX(A$7:A926)+1, A926)</f>
        <v>52</v>
      </c>
      <c r="B927" s="3">
        <v>7</v>
      </c>
      <c r="C927" s="11" t="s">
        <v>1295</v>
      </c>
      <c r="D927" s="3">
        <v>3.15</v>
      </c>
      <c r="E927" s="3">
        <v>3.55</v>
      </c>
      <c r="F927" s="3" t="s">
        <v>8</v>
      </c>
      <c r="G927" s="3">
        <v>4</v>
      </c>
      <c r="H927" s="3">
        <v>4</v>
      </c>
    </row>
    <row r="928" spans="1:8" ht="14" x14ac:dyDescent="0.3">
      <c r="A928" s="3">
        <f>IF(B927=1, MAX(A$7:A927)+1, A927)</f>
        <v>52</v>
      </c>
      <c r="B928" s="3">
        <v>8</v>
      </c>
      <c r="C928" s="11" t="s">
        <v>1296</v>
      </c>
      <c r="D928" s="3">
        <v>0.2</v>
      </c>
      <c r="E928" s="3">
        <v>0.3</v>
      </c>
      <c r="F928" s="3" t="s">
        <v>8</v>
      </c>
      <c r="G928" s="3">
        <v>4</v>
      </c>
      <c r="H928" s="3">
        <v>4</v>
      </c>
    </row>
    <row r="929" spans="1:8" ht="14" x14ac:dyDescent="0.3">
      <c r="A929" s="3">
        <f>IF(B928=1, MAX(A$7:A928)+1, A928)</f>
        <v>52</v>
      </c>
      <c r="B929" s="3">
        <v>9</v>
      </c>
      <c r="C929" s="11" t="s">
        <v>1297</v>
      </c>
      <c r="D929" s="3">
        <v>22.2</v>
      </c>
      <c r="E929" s="3">
        <v>23.78</v>
      </c>
      <c r="F929" s="3" t="s">
        <v>8</v>
      </c>
      <c r="G929" s="3">
        <v>4</v>
      </c>
      <c r="H929" s="3">
        <v>4</v>
      </c>
    </row>
    <row r="930" spans="1:8" ht="14" x14ac:dyDescent="0.3">
      <c r="A930" s="3">
        <f>IF(B929=1, MAX(A$7:A929)+1, A929)</f>
        <v>52</v>
      </c>
      <c r="B930" s="3">
        <v>10</v>
      </c>
      <c r="C930" s="11" t="s">
        <v>1298</v>
      </c>
      <c r="D930" s="3">
        <v>30.5</v>
      </c>
      <c r="E930" s="3">
        <v>32.68</v>
      </c>
      <c r="F930" s="3" t="s">
        <v>8</v>
      </c>
      <c r="G930" s="3">
        <v>4</v>
      </c>
      <c r="H930" s="3">
        <v>4</v>
      </c>
    </row>
    <row r="931" spans="1:8" ht="14" x14ac:dyDescent="0.3">
      <c r="A931" s="3">
        <f>IF(B930=1, MAX(A$7:A930)+1, A930)</f>
        <v>52</v>
      </c>
      <c r="B931" s="3">
        <v>1</v>
      </c>
      <c r="C931" s="11" t="s">
        <v>1299</v>
      </c>
      <c r="D931" s="3">
        <v>35</v>
      </c>
      <c r="E931" s="3">
        <v>40</v>
      </c>
      <c r="F931" s="3" t="s">
        <v>8</v>
      </c>
      <c r="G931" s="3">
        <v>4</v>
      </c>
      <c r="H931" s="3">
        <v>4</v>
      </c>
    </row>
    <row r="932" spans="1:8" ht="14" x14ac:dyDescent="0.3">
      <c r="A932" s="3">
        <f>IF(B931=1, MAX(A$7:A931)+1, A931)</f>
        <v>53</v>
      </c>
      <c r="B932" s="3">
        <v>2</v>
      </c>
      <c r="C932" s="11" t="s">
        <v>1300</v>
      </c>
      <c r="D932" s="3">
        <v>8</v>
      </c>
      <c r="E932" s="3">
        <v>18</v>
      </c>
      <c r="F932" s="3" t="s">
        <v>18</v>
      </c>
      <c r="G932" s="3">
        <v>4</v>
      </c>
      <c r="H932" s="3">
        <v>4</v>
      </c>
    </row>
    <row r="933" spans="1:8" ht="14" x14ac:dyDescent="0.3">
      <c r="A933" s="3">
        <f>IF(B932=1, MAX(A$7:A932)+1, A932)</f>
        <v>53</v>
      </c>
      <c r="B933" s="3">
        <v>3</v>
      </c>
      <c r="C933" s="11" t="s">
        <v>1301</v>
      </c>
      <c r="D933" s="3">
        <v>3.2</v>
      </c>
      <c r="E933" s="3">
        <v>3.4</v>
      </c>
      <c r="F933" s="3" t="s">
        <v>8</v>
      </c>
      <c r="G933" s="3">
        <v>4</v>
      </c>
      <c r="H933" s="3">
        <v>4</v>
      </c>
    </row>
    <row r="934" spans="1:8" ht="14" x14ac:dyDescent="0.3">
      <c r="A934" s="3">
        <f>IF(B933=1, MAX(A$7:A933)+1, A933)</f>
        <v>53</v>
      </c>
      <c r="B934" s="3">
        <v>4</v>
      </c>
      <c r="C934" s="11" t="s">
        <v>1302</v>
      </c>
      <c r="D934" s="3">
        <v>3.2</v>
      </c>
      <c r="E934" s="3">
        <v>3.4</v>
      </c>
      <c r="F934" s="3" t="s">
        <v>8</v>
      </c>
      <c r="G934" s="3">
        <v>4</v>
      </c>
      <c r="H934" s="3">
        <v>4</v>
      </c>
    </row>
    <row r="935" spans="1:8" ht="14" x14ac:dyDescent="0.3">
      <c r="A935" s="3">
        <f>IF(B934=1, MAX(A$7:A934)+1, A934)</f>
        <v>53</v>
      </c>
      <c r="B935" s="3">
        <v>5</v>
      </c>
      <c r="C935" s="11" t="s">
        <v>1303</v>
      </c>
      <c r="D935" s="3">
        <v>3.2</v>
      </c>
      <c r="E935" s="3">
        <v>3.4</v>
      </c>
      <c r="F935" s="3" t="s">
        <v>8</v>
      </c>
      <c r="G935" s="3">
        <v>4</v>
      </c>
      <c r="H935" s="3">
        <v>4</v>
      </c>
    </row>
    <row r="936" spans="1:8" ht="14" x14ac:dyDescent="0.3">
      <c r="A936" s="3">
        <f>IF(B935=1, MAX(A$7:A935)+1, A935)</f>
        <v>53</v>
      </c>
      <c r="B936" s="3">
        <v>6</v>
      </c>
      <c r="C936" s="11" t="s">
        <v>1304</v>
      </c>
      <c r="D936" s="3">
        <v>0.7</v>
      </c>
      <c r="E936" s="3">
        <v>1.9</v>
      </c>
      <c r="F936" s="3" t="s">
        <v>17</v>
      </c>
      <c r="G936" s="3">
        <v>4</v>
      </c>
      <c r="H936" s="3">
        <v>4</v>
      </c>
    </row>
    <row r="937" spans="1:8" ht="14" x14ac:dyDescent="0.3">
      <c r="A937" s="3">
        <f>IF(B936=1, MAX(A$7:A936)+1, A936)</f>
        <v>53</v>
      </c>
      <c r="B937" s="3">
        <v>7</v>
      </c>
      <c r="C937" s="11" t="s">
        <v>1305</v>
      </c>
      <c r="D937" s="3">
        <v>-0.05</v>
      </c>
      <c r="E937" s="3">
        <v>0.05</v>
      </c>
      <c r="F937" s="3" t="s">
        <v>8</v>
      </c>
      <c r="G937" s="3">
        <v>4</v>
      </c>
      <c r="H937" s="3">
        <v>4</v>
      </c>
    </row>
    <row r="938" spans="1:8" ht="14" x14ac:dyDescent="0.3">
      <c r="A938" s="3">
        <f>IF(B937=1, MAX(A$7:A937)+1, A937)</f>
        <v>53</v>
      </c>
      <c r="B938" s="3">
        <v>8</v>
      </c>
      <c r="C938" s="11" t="s">
        <v>1306</v>
      </c>
      <c r="D938" s="3">
        <v>3.21</v>
      </c>
      <c r="E938" s="3">
        <v>3.3</v>
      </c>
      <c r="F938" s="3" t="s">
        <v>8</v>
      </c>
      <c r="G938" s="3">
        <v>4</v>
      </c>
      <c r="H938" s="3">
        <v>4</v>
      </c>
    </row>
    <row r="939" spans="1:8" ht="14" x14ac:dyDescent="0.3">
      <c r="A939" s="3">
        <f>IF(B938=1, MAX(A$7:A938)+1, A938)</f>
        <v>53</v>
      </c>
      <c r="B939" s="3">
        <v>9</v>
      </c>
      <c r="C939" s="11" t="s">
        <v>1307</v>
      </c>
      <c r="D939" s="3">
        <v>1.7</v>
      </c>
      <c r="E939" s="3">
        <v>1.8</v>
      </c>
      <c r="F939" s="3" t="s">
        <v>8</v>
      </c>
      <c r="G939" s="3">
        <v>4</v>
      </c>
      <c r="H939" s="3">
        <v>4</v>
      </c>
    </row>
    <row r="940" spans="1:8" ht="14" x14ac:dyDescent="0.3">
      <c r="A940" s="3">
        <f>IF(B939=1, MAX(A$7:A939)+1, A939)</f>
        <v>53</v>
      </c>
      <c r="B940" s="3">
        <v>10</v>
      </c>
      <c r="C940" s="11" t="s">
        <v>1308</v>
      </c>
      <c r="D940" s="3">
        <v>-0.15</v>
      </c>
      <c r="E940" s="3">
        <v>0.15</v>
      </c>
      <c r="F940" s="3" t="s">
        <v>18</v>
      </c>
      <c r="G940" s="3">
        <v>4</v>
      </c>
      <c r="H940" s="3">
        <v>4</v>
      </c>
    </row>
    <row r="941" spans="1:8" ht="14" x14ac:dyDescent="0.3">
      <c r="A941" s="3">
        <f>IF(B940=1, MAX(A$7:A940)+1, A940)</f>
        <v>53</v>
      </c>
      <c r="B941" s="3">
        <v>11</v>
      </c>
      <c r="C941" s="11" t="s">
        <v>1309</v>
      </c>
      <c r="D941" s="3">
        <v>-0.15</v>
      </c>
      <c r="E941" s="3">
        <v>0.15</v>
      </c>
      <c r="F941" s="3" t="s">
        <v>18</v>
      </c>
      <c r="G941" s="3">
        <v>4</v>
      </c>
      <c r="H941" s="3">
        <v>4</v>
      </c>
    </row>
    <row r="942" spans="1:8" ht="14" x14ac:dyDescent="0.3">
      <c r="A942" s="3">
        <f>IF(B941=1, MAX(A$7:A941)+1, A941)</f>
        <v>53</v>
      </c>
      <c r="B942" s="3">
        <v>12</v>
      </c>
      <c r="C942" s="11" t="s">
        <v>1310</v>
      </c>
      <c r="D942" s="3">
        <v>35</v>
      </c>
      <c r="E942" s="3">
        <v>39.799999999999997</v>
      </c>
      <c r="F942" s="3" t="s">
        <v>8</v>
      </c>
      <c r="G942" s="3">
        <v>4</v>
      </c>
      <c r="H942" s="3">
        <v>4</v>
      </c>
    </row>
    <row r="943" spans="1:8" ht="14" x14ac:dyDescent="0.3">
      <c r="A943" s="3">
        <f>IF(B942=1, MAX(A$7:A942)+1, A942)</f>
        <v>53</v>
      </c>
      <c r="B943" s="3">
        <v>13</v>
      </c>
      <c r="C943" s="11" t="s">
        <v>1311</v>
      </c>
      <c r="D943" s="3">
        <v>8</v>
      </c>
      <c r="E943" s="3">
        <v>18</v>
      </c>
      <c r="F943" s="3" t="s">
        <v>18</v>
      </c>
      <c r="G943" s="3">
        <v>4</v>
      </c>
      <c r="H943" s="3">
        <v>4</v>
      </c>
    </row>
    <row r="944" spans="1:8" ht="14" x14ac:dyDescent="0.3">
      <c r="A944" s="3">
        <f>IF(B943=1, MAX(A$7:A943)+1, A943)</f>
        <v>53</v>
      </c>
      <c r="B944" s="3">
        <v>14</v>
      </c>
      <c r="C944" s="11" t="s">
        <v>1312</v>
      </c>
      <c r="D944" s="3">
        <v>3.2</v>
      </c>
      <c r="E944" s="3">
        <v>3.4</v>
      </c>
      <c r="F944" s="3" t="s">
        <v>8</v>
      </c>
      <c r="G944" s="3">
        <v>4</v>
      </c>
      <c r="H944" s="3">
        <v>4</v>
      </c>
    </row>
    <row r="945" spans="1:8" ht="14" x14ac:dyDescent="0.3">
      <c r="A945" s="3">
        <f>IF(B944=1, MAX(A$7:A944)+1, A944)</f>
        <v>53</v>
      </c>
      <c r="B945" s="3">
        <v>15</v>
      </c>
      <c r="C945" s="11" t="s">
        <v>1313</v>
      </c>
      <c r="D945" s="3">
        <v>3.2</v>
      </c>
      <c r="E945" s="3">
        <v>3.4</v>
      </c>
      <c r="F945" s="3" t="s">
        <v>8</v>
      </c>
      <c r="G945" s="3">
        <v>4</v>
      </c>
      <c r="H945" s="3">
        <v>4</v>
      </c>
    </row>
    <row r="946" spans="1:8" ht="14" x14ac:dyDescent="0.3">
      <c r="A946" s="3">
        <f>IF(B945=1, MAX(A$7:A945)+1, A945)</f>
        <v>53</v>
      </c>
      <c r="B946" s="3">
        <v>16</v>
      </c>
      <c r="C946" s="11" t="s">
        <v>1314</v>
      </c>
      <c r="D946" s="3">
        <v>3.2</v>
      </c>
      <c r="E946" s="3">
        <v>3.4</v>
      </c>
      <c r="F946" s="3" t="s">
        <v>8</v>
      </c>
      <c r="G946" s="3">
        <v>4</v>
      </c>
      <c r="H946" s="3">
        <v>4</v>
      </c>
    </row>
    <row r="947" spans="1:8" ht="14" x14ac:dyDescent="0.3">
      <c r="A947" s="3">
        <f>IF(B946=1, MAX(A$7:A946)+1, A946)</f>
        <v>53</v>
      </c>
      <c r="B947" s="3">
        <v>17</v>
      </c>
      <c r="C947" s="11" t="s">
        <v>1315</v>
      </c>
      <c r="D947" s="3">
        <v>0.7</v>
      </c>
      <c r="E947" s="3">
        <v>1.9</v>
      </c>
      <c r="F947" s="3" t="s">
        <v>17</v>
      </c>
      <c r="G947" s="3">
        <v>4</v>
      </c>
      <c r="H947" s="3">
        <v>4</v>
      </c>
    </row>
    <row r="948" spans="1:8" ht="14" x14ac:dyDescent="0.3">
      <c r="A948" s="3">
        <f>IF(B947=1, MAX(A$7:A947)+1, A947)</f>
        <v>53</v>
      </c>
      <c r="B948" s="3">
        <v>18</v>
      </c>
      <c r="C948" s="11" t="s">
        <v>1316</v>
      </c>
      <c r="D948" s="3">
        <v>-0.05</v>
      </c>
      <c r="E948" s="3">
        <v>0.05</v>
      </c>
      <c r="F948" s="3" t="s">
        <v>8</v>
      </c>
      <c r="G948" s="3">
        <v>4</v>
      </c>
      <c r="H948" s="3">
        <v>4</v>
      </c>
    </row>
    <row r="949" spans="1:8" ht="14" x14ac:dyDescent="0.3">
      <c r="A949" s="3">
        <f>IF(B948=1, MAX(A$7:A948)+1, A948)</f>
        <v>53</v>
      </c>
      <c r="B949" s="3">
        <v>19</v>
      </c>
      <c r="C949" s="11" t="s">
        <v>1317</v>
      </c>
      <c r="D949" s="3">
        <v>3.21</v>
      </c>
      <c r="E949" s="3">
        <v>3.3</v>
      </c>
      <c r="F949" s="3" t="s">
        <v>8</v>
      </c>
      <c r="G949" s="3">
        <v>4</v>
      </c>
      <c r="H949" s="3">
        <v>4</v>
      </c>
    </row>
    <row r="950" spans="1:8" ht="14" x14ac:dyDescent="0.3">
      <c r="A950" s="3">
        <f>IF(B949=1, MAX(A$7:A949)+1, A949)</f>
        <v>53</v>
      </c>
      <c r="B950" s="3">
        <v>20</v>
      </c>
      <c r="C950" s="11" t="s">
        <v>1318</v>
      </c>
      <c r="D950" s="3">
        <v>1.7</v>
      </c>
      <c r="E950" s="3">
        <v>1.8</v>
      </c>
      <c r="F950" s="3" t="s">
        <v>8</v>
      </c>
      <c r="G950" s="3">
        <v>4</v>
      </c>
      <c r="H950" s="3">
        <v>4</v>
      </c>
    </row>
    <row r="951" spans="1:8" ht="14" x14ac:dyDescent="0.3">
      <c r="A951" s="3">
        <f>IF(B950=1, MAX(A$7:A950)+1, A950)</f>
        <v>53</v>
      </c>
      <c r="B951" s="3">
        <v>21</v>
      </c>
      <c r="C951" s="11" t="s">
        <v>1319</v>
      </c>
      <c r="D951" s="3">
        <v>-0.15</v>
      </c>
      <c r="E951" s="3">
        <v>0.15</v>
      </c>
      <c r="F951" s="3" t="s">
        <v>18</v>
      </c>
      <c r="G951" s="3">
        <v>4</v>
      </c>
      <c r="H951" s="3">
        <v>4</v>
      </c>
    </row>
    <row r="952" spans="1:8" ht="14" x14ac:dyDescent="0.3">
      <c r="A952" s="3">
        <f>IF(B951=1, MAX(A$7:A951)+1, A951)</f>
        <v>53</v>
      </c>
      <c r="B952" s="3">
        <v>22</v>
      </c>
      <c r="C952" s="11" t="s">
        <v>1320</v>
      </c>
      <c r="D952" s="3">
        <v>-0.15</v>
      </c>
      <c r="E952" s="3">
        <v>0.15</v>
      </c>
      <c r="F952" s="3" t="s">
        <v>18</v>
      </c>
      <c r="G952" s="3">
        <v>4</v>
      </c>
      <c r="H952" s="3">
        <v>4</v>
      </c>
    </row>
    <row r="953" spans="1:8" ht="14" x14ac:dyDescent="0.3">
      <c r="A953" s="3">
        <f>IF(B952=1, MAX(A$7:A952)+1, A952)</f>
        <v>53</v>
      </c>
      <c r="B953" s="3">
        <v>1</v>
      </c>
      <c r="C953" s="11" t="s">
        <v>1321</v>
      </c>
      <c r="D953" s="3">
        <v>5.67</v>
      </c>
      <c r="E953" s="3">
        <v>5.98</v>
      </c>
      <c r="F953" s="3" t="s">
        <v>8</v>
      </c>
      <c r="G953" s="3">
        <v>4</v>
      </c>
      <c r="H953" s="3">
        <v>4</v>
      </c>
    </row>
    <row r="954" spans="1:8" ht="14" x14ac:dyDescent="0.3">
      <c r="A954" s="3">
        <f>IF(B953=1, MAX(A$7:A953)+1, A953)</f>
        <v>54</v>
      </c>
      <c r="B954" s="3">
        <v>2</v>
      </c>
      <c r="C954" s="11" t="s">
        <v>1322</v>
      </c>
      <c r="D954" s="3">
        <v>5.42</v>
      </c>
      <c r="E954" s="3">
        <v>5.73</v>
      </c>
      <c r="F954" s="3" t="s">
        <v>8</v>
      </c>
      <c r="G954" s="3">
        <v>4</v>
      </c>
      <c r="H954" s="3">
        <v>4</v>
      </c>
    </row>
    <row r="955" spans="1:8" ht="14" x14ac:dyDescent="0.3">
      <c r="A955" s="3">
        <f>IF(B954=1, MAX(A$7:A954)+1, A954)</f>
        <v>54</v>
      </c>
      <c r="B955" s="3">
        <v>3</v>
      </c>
      <c r="C955" s="11" t="s">
        <v>1323</v>
      </c>
      <c r="D955" s="3">
        <v>0.1</v>
      </c>
      <c r="E955" s="3">
        <v>0.5</v>
      </c>
      <c r="F955" s="3" t="s">
        <v>8</v>
      </c>
      <c r="G955" s="3">
        <v>4</v>
      </c>
      <c r="H955" s="3">
        <v>4</v>
      </c>
    </row>
    <row r="956" spans="1:8" ht="14" x14ac:dyDescent="0.3">
      <c r="A956" s="3">
        <f>IF(B955=1, MAX(A$7:A955)+1, A955)</f>
        <v>54</v>
      </c>
      <c r="B956" s="3">
        <v>4</v>
      </c>
      <c r="C956" s="11" t="s">
        <v>1324</v>
      </c>
      <c r="D956" s="3">
        <v>5.67</v>
      </c>
      <c r="E956" s="3">
        <v>5.98</v>
      </c>
      <c r="F956" s="3" t="s">
        <v>8</v>
      </c>
      <c r="G956" s="3">
        <v>4</v>
      </c>
      <c r="H956" s="3">
        <v>4</v>
      </c>
    </row>
    <row r="957" spans="1:8" ht="14" x14ac:dyDescent="0.3">
      <c r="A957" s="3">
        <f>IF(B956=1, MAX(A$7:A956)+1, A956)</f>
        <v>54</v>
      </c>
      <c r="B957" s="3">
        <v>5</v>
      </c>
      <c r="C957" s="11" t="s">
        <v>1325</v>
      </c>
      <c r="D957" s="3">
        <v>5.42</v>
      </c>
      <c r="E957" s="3">
        <v>5.73</v>
      </c>
      <c r="F957" s="3" t="s">
        <v>8</v>
      </c>
      <c r="G957" s="3">
        <v>4</v>
      </c>
      <c r="H957" s="3">
        <v>4</v>
      </c>
    </row>
    <row r="958" spans="1:8" ht="14" x14ac:dyDescent="0.3">
      <c r="A958" s="3">
        <f>IF(B957=1, MAX(A$7:A957)+1, A957)</f>
        <v>54</v>
      </c>
      <c r="B958" s="3">
        <v>6</v>
      </c>
      <c r="C958" s="11" t="s">
        <v>1326</v>
      </c>
      <c r="D958" s="3">
        <v>0.1</v>
      </c>
      <c r="E958" s="3">
        <v>0.5</v>
      </c>
      <c r="F958" s="3" t="s">
        <v>8</v>
      </c>
      <c r="G958" s="3">
        <v>4</v>
      </c>
      <c r="H958" s="3">
        <v>4</v>
      </c>
    </row>
    <row r="959" spans="1:8" ht="14" x14ac:dyDescent="0.3">
      <c r="A959" s="3">
        <f>IF(B958=1, MAX(A$7:A958)+1, A958)</f>
        <v>54</v>
      </c>
      <c r="B959" s="3">
        <v>7</v>
      </c>
      <c r="C959" s="11" t="s">
        <v>1327</v>
      </c>
      <c r="D959" s="3">
        <v>5.67</v>
      </c>
      <c r="E959" s="3">
        <v>5.98</v>
      </c>
      <c r="F959" s="3" t="s">
        <v>8</v>
      </c>
      <c r="G959" s="3">
        <v>4</v>
      </c>
      <c r="H959" s="3">
        <v>4</v>
      </c>
    </row>
    <row r="960" spans="1:8" ht="14" x14ac:dyDescent="0.3">
      <c r="A960" s="3">
        <f>IF(B959=1, MAX(A$7:A959)+1, A959)</f>
        <v>54</v>
      </c>
      <c r="B960" s="3">
        <v>8</v>
      </c>
      <c r="C960" s="11" t="s">
        <v>1328</v>
      </c>
      <c r="D960" s="3">
        <v>5.42</v>
      </c>
      <c r="E960" s="3">
        <v>5.73</v>
      </c>
      <c r="F960" s="3" t="s">
        <v>8</v>
      </c>
      <c r="G960" s="3">
        <v>4</v>
      </c>
      <c r="H960" s="3">
        <v>4</v>
      </c>
    </row>
    <row r="961" spans="1:8" ht="14" x14ac:dyDescent="0.3">
      <c r="A961" s="3">
        <f>IF(B960=1, MAX(A$7:A960)+1, A960)</f>
        <v>54</v>
      </c>
      <c r="B961" s="3">
        <v>9</v>
      </c>
      <c r="C961" s="11" t="s">
        <v>1329</v>
      </c>
      <c r="D961" s="3">
        <v>0.1</v>
      </c>
      <c r="E961" s="3">
        <v>0.5</v>
      </c>
      <c r="F961" s="3" t="s">
        <v>8</v>
      </c>
      <c r="G961" s="3">
        <v>4</v>
      </c>
      <c r="H961" s="3">
        <v>4</v>
      </c>
    </row>
    <row r="962" spans="1:8" ht="14" x14ac:dyDescent="0.3">
      <c r="A962" s="3">
        <f>IF(B961=1, MAX(A$7:A961)+1, A961)</f>
        <v>54</v>
      </c>
      <c r="B962" s="3">
        <v>10</v>
      </c>
      <c r="C962" s="11" t="s">
        <v>1330</v>
      </c>
      <c r="D962" s="3">
        <v>5.67</v>
      </c>
      <c r="E962" s="3">
        <v>5.98</v>
      </c>
      <c r="F962" s="3" t="s">
        <v>8</v>
      </c>
      <c r="G962" s="3">
        <v>4</v>
      </c>
      <c r="H962" s="3">
        <v>4</v>
      </c>
    </row>
    <row r="963" spans="1:8" ht="14" x14ac:dyDescent="0.3">
      <c r="A963" s="3">
        <f>IF(B962=1, MAX(A$7:A962)+1, A962)</f>
        <v>54</v>
      </c>
      <c r="B963" s="3">
        <v>11</v>
      </c>
      <c r="C963" s="11" t="s">
        <v>1331</v>
      </c>
      <c r="D963" s="3">
        <v>5.42</v>
      </c>
      <c r="E963" s="3">
        <v>5.73</v>
      </c>
      <c r="F963" s="3" t="s">
        <v>8</v>
      </c>
      <c r="G963" s="3">
        <v>4</v>
      </c>
      <c r="H963" s="3">
        <v>4</v>
      </c>
    </row>
    <row r="964" spans="1:8" ht="14" x14ac:dyDescent="0.3">
      <c r="A964" s="3">
        <f>IF(B963=1, MAX(A$7:A963)+1, A963)</f>
        <v>54</v>
      </c>
      <c r="B964" s="3">
        <v>12</v>
      </c>
      <c r="C964" s="11" t="s">
        <v>1332</v>
      </c>
      <c r="D964" s="3">
        <v>0.1</v>
      </c>
      <c r="E964" s="3">
        <v>0.5</v>
      </c>
      <c r="F964" s="3" t="s">
        <v>8</v>
      </c>
      <c r="G964" s="3">
        <v>4</v>
      </c>
      <c r="H964" s="3">
        <v>4</v>
      </c>
    </row>
    <row r="965" spans="1:8" ht="14" x14ac:dyDescent="0.3">
      <c r="A965" s="3">
        <f>IF(B964=1, MAX(A$7:A964)+1, A964)</f>
        <v>54</v>
      </c>
      <c r="B965" s="3">
        <v>13</v>
      </c>
      <c r="C965" s="11" t="s">
        <v>1333</v>
      </c>
      <c r="D965" s="3">
        <v>5.86</v>
      </c>
      <c r="E965" s="3">
        <v>6.19</v>
      </c>
      <c r="F965" s="3" t="s">
        <v>8</v>
      </c>
      <c r="G965" s="3">
        <v>4</v>
      </c>
      <c r="H965" s="3">
        <v>4</v>
      </c>
    </row>
    <row r="966" spans="1:8" ht="14" x14ac:dyDescent="0.3">
      <c r="A966" s="3">
        <f>IF(B965=1, MAX(A$7:A965)+1, A965)</f>
        <v>54</v>
      </c>
      <c r="B966" s="3">
        <v>14</v>
      </c>
      <c r="C966" s="11" t="s">
        <v>1334</v>
      </c>
      <c r="D966" s="3">
        <v>5.61</v>
      </c>
      <c r="E966" s="3">
        <v>5.94</v>
      </c>
      <c r="F966" s="3" t="s">
        <v>8</v>
      </c>
      <c r="G966" s="3">
        <v>4</v>
      </c>
      <c r="H966" s="3">
        <v>4</v>
      </c>
    </row>
    <row r="967" spans="1:8" ht="14" x14ac:dyDescent="0.3">
      <c r="A967" s="3">
        <f>IF(B966=1, MAX(A$7:A966)+1, A966)</f>
        <v>54</v>
      </c>
      <c r="B967" s="3">
        <v>15</v>
      </c>
      <c r="C967" s="11" t="s">
        <v>1335</v>
      </c>
      <c r="D967" s="3">
        <v>0.1</v>
      </c>
      <c r="E967" s="3">
        <v>0.5</v>
      </c>
      <c r="F967" s="3" t="s">
        <v>8</v>
      </c>
      <c r="G967" s="3">
        <v>4</v>
      </c>
      <c r="H967" s="3">
        <v>4</v>
      </c>
    </row>
    <row r="968" spans="1:8" ht="14" x14ac:dyDescent="0.3">
      <c r="A968" s="3">
        <f>IF(B967=1, MAX(A$7:A967)+1, A967)</f>
        <v>54</v>
      </c>
      <c r="B968" s="3">
        <v>16</v>
      </c>
      <c r="C968" s="11" t="s">
        <v>1336</v>
      </c>
      <c r="D968" s="3">
        <v>5.86</v>
      </c>
      <c r="E968" s="3">
        <v>6.19</v>
      </c>
      <c r="F968" s="3" t="s">
        <v>8</v>
      </c>
      <c r="G968" s="3">
        <v>4</v>
      </c>
      <c r="H968" s="3">
        <v>4</v>
      </c>
    </row>
    <row r="969" spans="1:8" ht="14" x14ac:dyDescent="0.3">
      <c r="A969" s="3">
        <f>IF(B968=1, MAX(A$7:A968)+1, A968)</f>
        <v>54</v>
      </c>
      <c r="B969" s="3">
        <v>17</v>
      </c>
      <c r="C969" s="11" t="s">
        <v>1337</v>
      </c>
      <c r="D969" s="3">
        <v>5.61</v>
      </c>
      <c r="E969" s="3">
        <v>5.94</v>
      </c>
      <c r="F969" s="3" t="s">
        <v>8</v>
      </c>
      <c r="G969" s="3">
        <v>4</v>
      </c>
      <c r="H969" s="3">
        <v>4</v>
      </c>
    </row>
    <row r="970" spans="1:8" ht="14" x14ac:dyDescent="0.3">
      <c r="A970" s="3">
        <f>IF(B969=1, MAX(A$7:A969)+1, A969)</f>
        <v>54</v>
      </c>
      <c r="B970" s="3">
        <v>18</v>
      </c>
      <c r="C970" s="11" t="s">
        <v>1338</v>
      </c>
      <c r="D970" s="3">
        <v>0.1</v>
      </c>
      <c r="E970" s="3">
        <v>0.5</v>
      </c>
      <c r="F970" s="3" t="s">
        <v>8</v>
      </c>
      <c r="G970" s="3">
        <v>4</v>
      </c>
      <c r="H970" s="3">
        <v>4</v>
      </c>
    </row>
    <row r="971" spans="1:8" ht="14" x14ac:dyDescent="0.3">
      <c r="A971" s="3">
        <f>IF(B970=1, MAX(A$7:A970)+1, A970)</f>
        <v>54</v>
      </c>
      <c r="B971" s="3">
        <v>19</v>
      </c>
      <c r="C971" s="11" t="s">
        <v>1339</v>
      </c>
      <c r="D971" s="3">
        <v>5.86</v>
      </c>
      <c r="E971" s="3">
        <v>6.19</v>
      </c>
      <c r="F971" s="3" t="s">
        <v>8</v>
      </c>
      <c r="G971" s="3">
        <v>4</v>
      </c>
      <c r="H971" s="3">
        <v>4</v>
      </c>
    </row>
    <row r="972" spans="1:8" ht="14" x14ac:dyDescent="0.3">
      <c r="A972" s="3">
        <f>IF(B971=1, MAX(A$7:A971)+1, A971)</f>
        <v>54</v>
      </c>
      <c r="B972" s="3">
        <v>20</v>
      </c>
      <c r="C972" s="11" t="s">
        <v>1340</v>
      </c>
      <c r="D972" s="3">
        <v>5.61</v>
      </c>
      <c r="E972" s="3">
        <v>5.94</v>
      </c>
      <c r="F972" s="3" t="s">
        <v>8</v>
      </c>
      <c r="G972" s="3">
        <v>4</v>
      </c>
      <c r="H972" s="3">
        <v>4</v>
      </c>
    </row>
    <row r="973" spans="1:8" ht="14" x14ac:dyDescent="0.3">
      <c r="A973" s="3">
        <f>IF(B972=1, MAX(A$7:A972)+1, A972)</f>
        <v>54</v>
      </c>
      <c r="B973" s="3">
        <v>21</v>
      </c>
      <c r="C973" s="11" t="s">
        <v>1341</v>
      </c>
      <c r="D973" s="3">
        <v>0.1</v>
      </c>
      <c r="E973" s="3">
        <v>0.5</v>
      </c>
      <c r="F973" s="3" t="s">
        <v>8</v>
      </c>
      <c r="G973" s="3">
        <v>4</v>
      </c>
      <c r="H973" s="3">
        <v>4</v>
      </c>
    </row>
    <row r="974" spans="1:8" ht="14" x14ac:dyDescent="0.3">
      <c r="A974" s="3">
        <f>IF(B973=1, MAX(A$7:A973)+1, A973)</f>
        <v>54</v>
      </c>
      <c r="B974" s="3">
        <v>22</v>
      </c>
      <c r="C974" s="11" t="s">
        <v>1342</v>
      </c>
      <c r="D974" s="3">
        <v>5.86</v>
      </c>
      <c r="E974" s="3">
        <v>6.19</v>
      </c>
      <c r="F974" s="3" t="s">
        <v>8</v>
      </c>
      <c r="G974" s="3">
        <v>4</v>
      </c>
      <c r="H974" s="3">
        <v>4</v>
      </c>
    </row>
    <row r="975" spans="1:8" ht="14" x14ac:dyDescent="0.3">
      <c r="A975" s="3">
        <f>IF(B974=1, MAX(A$7:A974)+1, A974)</f>
        <v>54</v>
      </c>
      <c r="B975" s="3">
        <v>23</v>
      </c>
      <c r="C975" s="11" t="s">
        <v>1343</v>
      </c>
      <c r="D975" s="3">
        <v>5.61</v>
      </c>
      <c r="E975" s="3">
        <v>5.94</v>
      </c>
      <c r="F975" s="3" t="s">
        <v>8</v>
      </c>
      <c r="G975" s="3">
        <v>4</v>
      </c>
      <c r="H975" s="3">
        <v>4</v>
      </c>
    </row>
    <row r="976" spans="1:8" ht="14" x14ac:dyDescent="0.3">
      <c r="A976" s="3">
        <f>IF(B975=1, MAX(A$7:A975)+1, A975)</f>
        <v>54</v>
      </c>
      <c r="B976" s="3">
        <v>24</v>
      </c>
      <c r="C976" s="11" t="s">
        <v>1344</v>
      </c>
      <c r="D976" s="3">
        <v>0.1</v>
      </c>
      <c r="E976" s="3">
        <v>0.5</v>
      </c>
      <c r="F976" s="3" t="s">
        <v>8</v>
      </c>
      <c r="G976" s="3">
        <v>4</v>
      </c>
      <c r="H976" s="3">
        <v>4</v>
      </c>
    </row>
    <row r="977" spans="1:8" ht="14" x14ac:dyDescent="0.3">
      <c r="A977" s="3">
        <f>IF(B976=1, MAX(A$7:A976)+1, A976)</f>
        <v>54</v>
      </c>
      <c r="B977" s="3">
        <v>1</v>
      </c>
      <c r="C977" s="11" t="s">
        <v>1345</v>
      </c>
      <c r="D977" s="3">
        <v>1</v>
      </c>
      <c r="E977" s="3">
        <v>8</v>
      </c>
      <c r="F977" s="3" t="s">
        <v>18</v>
      </c>
      <c r="G977" s="3">
        <v>4</v>
      </c>
      <c r="H977" s="3">
        <v>4</v>
      </c>
    </row>
    <row r="978" spans="1:8" ht="14" x14ac:dyDescent="0.3">
      <c r="A978" s="3">
        <f>IF(B977=1, MAX(A$7:A977)+1, A977)</f>
        <v>55</v>
      </c>
      <c r="B978" s="3">
        <v>2</v>
      </c>
      <c r="C978" s="11" t="s">
        <v>1346</v>
      </c>
      <c r="D978" s="3">
        <v>1</v>
      </c>
      <c r="E978" s="3">
        <v>8</v>
      </c>
      <c r="F978" s="3" t="s">
        <v>18</v>
      </c>
      <c r="G978" s="3">
        <v>4</v>
      </c>
      <c r="H978" s="3">
        <v>4</v>
      </c>
    </row>
    <row r="979" spans="1:8" ht="14" x14ac:dyDescent="0.3">
      <c r="A979" s="3">
        <f>IF(B978=1, MAX(A$7:A978)+1, A978)</f>
        <v>55</v>
      </c>
      <c r="B979" s="3">
        <v>3</v>
      </c>
      <c r="C979" s="11" t="s">
        <v>1347</v>
      </c>
      <c r="D979" s="3">
        <v>1</v>
      </c>
      <c r="E979" s="3">
        <v>8</v>
      </c>
      <c r="F979" s="3" t="s">
        <v>18</v>
      </c>
      <c r="G979" s="3">
        <v>4</v>
      </c>
      <c r="H979" s="3">
        <v>4</v>
      </c>
    </row>
    <row r="980" spans="1:8" ht="14" x14ac:dyDescent="0.3">
      <c r="A980" s="3">
        <f>IF(B979=1, MAX(A$7:A979)+1, A979)</f>
        <v>55</v>
      </c>
      <c r="B980" s="3">
        <v>4</v>
      </c>
      <c r="C980" s="11" t="s">
        <v>1348</v>
      </c>
      <c r="D980" s="3">
        <v>1</v>
      </c>
      <c r="E980" s="3">
        <v>8</v>
      </c>
      <c r="F980" s="3" t="s">
        <v>18</v>
      </c>
      <c r="G980" s="3">
        <v>4</v>
      </c>
      <c r="H980" s="3">
        <v>4</v>
      </c>
    </row>
    <row r="981" spans="1:8" ht="14" x14ac:dyDescent="0.3">
      <c r="A981" s="3">
        <f>IF(B980=1, MAX(A$7:A980)+1, A980)</f>
        <v>55</v>
      </c>
      <c r="B981" s="3">
        <v>5</v>
      </c>
      <c r="C981" s="11" t="s">
        <v>1349</v>
      </c>
      <c r="D981" s="3">
        <v>34</v>
      </c>
      <c r="E981" s="3">
        <v>56</v>
      </c>
      <c r="F981" s="3" t="s">
        <v>42</v>
      </c>
      <c r="G981" s="3">
        <v>4</v>
      </c>
      <c r="H981" s="3">
        <v>4</v>
      </c>
    </row>
    <row r="982" spans="1:8" ht="14" x14ac:dyDescent="0.3">
      <c r="A982" s="3">
        <f>IF(B981=1, MAX(A$7:A981)+1, A981)</f>
        <v>55</v>
      </c>
      <c r="B982" s="3">
        <v>6</v>
      </c>
      <c r="C982" s="11" t="s">
        <v>1350</v>
      </c>
      <c r="D982" s="3">
        <v>34</v>
      </c>
      <c r="E982" s="3">
        <v>56</v>
      </c>
      <c r="F982" s="3" t="s">
        <v>42</v>
      </c>
      <c r="G982" s="3">
        <v>4</v>
      </c>
      <c r="H982" s="3">
        <v>4</v>
      </c>
    </row>
    <row r="983" spans="1:8" ht="14" x14ac:dyDescent="0.3">
      <c r="A983" s="3">
        <f>IF(B982=1, MAX(A$7:A982)+1, A982)</f>
        <v>55</v>
      </c>
      <c r="B983" s="3">
        <v>7</v>
      </c>
      <c r="C983" s="11" t="s">
        <v>1351</v>
      </c>
      <c r="D983" s="3">
        <v>34</v>
      </c>
      <c r="E983" s="3">
        <v>56</v>
      </c>
      <c r="F983" s="3" t="s">
        <v>42</v>
      </c>
      <c r="G983" s="3">
        <v>4</v>
      </c>
      <c r="H983" s="3">
        <v>4</v>
      </c>
    </row>
    <row r="984" spans="1:8" ht="14" x14ac:dyDescent="0.3">
      <c r="A984" s="3">
        <f>IF(B983=1, MAX(A$7:A983)+1, A983)</f>
        <v>55</v>
      </c>
      <c r="B984" s="3">
        <v>8</v>
      </c>
      <c r="C984" s="11" t="s">
        <v>1352</v>
      </c>
      <c r="D984" s="3">
        <v>34</v>
      </c>
      <c r="E984" s="3">
        <v>56</v>
      </c>
      <c r="F984" s="3" t="s">
        <v>42</v>
      </c>
      <c r="G984" s="3">
        <v>4</v>
      </c>
      <c r="H984" s="3">
        <v>4</v>
      </c>
    </row>
    <row r="985" spans="1:8" ht="14" x14ac:dyDescent="0.3">
      <c r="A985" s="3">
        <f>IF(B984=1, MAX(A$7:A984)+1, A984)</f>
        <v>55</v>
      </c>
      <c r="B985" s="3">
        <v>9</v>
      </c>
      <c r="C985" s="11" t="s">
        <v>1353</v>
      </c>
      <c r="D985" s="3">
        <v>1</v>
      </c>
      <c r="E985" s="3">
        <v>8</v>
      </c>
      <c r="F985" s="3" t="s">
        <v>42</v>
      </c>
      <c r="G985" s="3">
        <v>4</v>
      </c>
      <c r="H985" s="3">
        <v>4</v>
      </c>
    </row>
    <row r="986" spans="1:8" ht="14" x14ac:dyDescent="0.3">
      <c r="A986" s="3">
        <f>IF(B985=1, MAX(A$7:A985)+1, A985)</f>
        <v>55</v>
      </c>
      <c r="B986" s="3">
        <v>10</v>
      </c>
      <c r="C986" s="11" t="s">
        <v>1354</v>
      </c>
      <c r="D986" s="3">
        <v>1</v>
      </c>
      <c r="E986" s="3">
        <v>8</v>
      </c>
      <c r="F986" s="3" t="s">
        <v>42</v>
      </c>
      <c r="G986" s="3">
        <v>4</v>
      </c>
      <c r="H986" s="3">
        <v>4</v>
      </c>
    </row>
    <row r="987" spans="1:8" ht="14" x14ac:dyDescent="0.3">
      <c r="A987" s="3">
        <f>IF(B986=1, MAX(A$7:A986)+1, A986)</f>
        <v>55</v>
      </c>
      <c r="B987" s="3">
        <v>11</v>
      </c>
      <c r="C987" s="11" t="s">
        <v>1355</v>
      </c>
      <c r="D987" s="3">
        <v>1</v>
      </c>
      <c r="E987" s="3">
        <v>8</v>
      </c>
      <c r="F987" s="3" t="s">
        <v>42</v>
      </c>
      <c r="G987" s="3">
        <v>4</v>
      </c>
      <c r="H987" s="3">
        <v>4</v>
      </c>
    </row>
    <row r="988" spans="1:8" ht="14" x14ac:dyDescent="0.3">
      <c r="A988" s="3">
        <f>IF(B987=1, MAX(A$7:A987)+1, A987)</f>
        <v>55</v>
      </c>
      <c r="B988" s="3">
        <v>12</v>
      </c>
      <c r="C988" s="11" t="s">
        <v>1356</v>
      </c>
      <c r="D988" s="3">
        <v>1</v>
      </c>
      <c r="E988" s="3">
        <v>8</v>
      </c>
      <c r="F988" s="3" t="s">
        <v>42</v>
      </c>
      <c r="G988" s="3">
        <v>4</v>
      </c>
      <c r="H988" s="3">
        <v>4</v>
      </c>
    </row>
    <row r="989" spans="1:8" ht="14" x14ac:dyDescent="0.3">
      <c r="A989" s="3">
        <f>IF(B988=1, MAX(A$7:A988)+1, A988)</f>
        <v>55</v>
      </c>
      <c r="B989" s="3">
        <v>13</v>
      </c>
      <c r="C989" s="11" t="s">
        <v>1357</v>
      </c>
      <c r="D989" s="3">
        <v>0.3</v>
      </c>
      <c r="E989" s="3">
        <v>0.8</v>
      </c>
      <c r="F989" s="3" t="s">
        <v>42</v>
      </c>
      <c r="G989" s="3">
        <v>4</v>
      </c>
      <c r="H989" s="3">
        <v>4</v>
      </c>
    </row>
    <row r="990" spans="1:8" ht="14" x14ac:dyDescent="0.3">
      <c r="A990" s="3">
        <f>IF(B989=1, MAX(A$7:A989)+1, A989)</f>
        <v>55</v>
      </c>
      <c r="B990" s="3">
        <v>14</v>
      </c>
      <c r="C990" s="11" t="s">
        <v>1358</v>
      </c>
      <c r="D990" s="3">
        <v>0.3</v>
      </c>
      <c r="E990" s="3">
        <v>0.8</v>
      </c>
      <c r="F990" s="3" t="s">
        <v>42</v>
      </c>
      <c r="G990" s="3">
        <v>4</v>
      </c>
      <c r="H990" s="3">
        <v>4</v>
      </c>
    </row>
    <row r="991" spans="1:8" ht="14" x14ac:dyDescent="0.3">
      <c r="A991" s="3">
        <f>IF(B990=1, MAX(A$7:A990)+1, A990)</f>
        <v>55</v>
      </c>
      <c r="B991" s="3">
        <v>15</v>
      </c>
      <c r="C991" s="11" t="s">
        <v>1359</v>
      </c>
      <c r="D991" s="3">
        <v>0.3</v>
      </c>
      <c r="E991" s="3">
        <v>0.8</v>
      </c>
      <c r="F991" s="3" t="s">
        <v>42</v>
      </c>
      <c r="G991" s="3">
        <v>4</v>
      </c>
      <c r="H991" s="3">
        <v>4</v>
      </c>
    </row>
    <row r="992" spans="1:8" ht="14" x14ac:dyDescent="0.3">
      <c r="A992" s="3">
        <f>IF(B991=1, MAX(A$7:A991)+1, A991)</f>
        <v>55</v>
      </c>
      <c r="B992" s="3">
        <v>16</v>
      </c>
      <c r="C992" s="11" t="s">
        <v>1360</v>
      </c>
      <c r="D992" s="3">
        <v>0.3</v>
      </c>
      <c r="E992" s="3">
        <v>0.8</v>
      </c>
      <c r="F992" s="3" t="s">
        <v>42</v>
      </c>
      <c r="G992" s="3">
        <v>4</v>
      </c>
      <c r="H992" s="3">
        <v>4</v>
      </c>
    </row>
    <row r="993" spans="1:8" ht="14" x14ac:dyDescent="0.3">
      <c r="A993" s="3">
        <f>IF(B992=1, MAX(A$7:A992)+1, A992)</f>
        <v>55</v>
      </c>
      <c r="B993" s="3">
        <v>1</v>
      </c>
      <c r="C993" s="11" t="s">
        <v>1361</v>
      </c>
      <c r="D993" s="3">
        <v>29</v>
      </c>
      <c r="E993" s="3">
        <v>65</v>
      </c>
      <c r="F993" s="3" t="s">
        <v>42</v>
      </c>
      <c r="G993" s="3">
        <v>4</v>
      </c>
      <c r="H993" s="3">
        <v>4</v>
      </c>
    </row>
    <row r="994" spans="1:8" ht="14" x14ac:dyDescent="0.3">
      <c r="A994" s="3">
        <f>IF(B993=1, MAX(A$7:A993)+1, A993)</f>
        <v>56</v>
      </c>
      <c r="B994" s="3">
        <v>2</v>
      </c>
      <c r="C994" s="11" t="s">
        <v>1362</v>
      </c>
      <c r="D994" s="3">
        <v>29</v>
      </c>
      <c r="E994" s="3">
        <v>65</v>
      </c>
      <c r="F994" s="3" t="s">
        <v>42</v>
      </c>
      <c r="G994" s="3">
        <v>4</v>
      </c>
      <c r="H994" s="3">
        <v>4</v>
      </c>
    </row>
    <row r="995" spans="1:8" ht="14" x14ac:dyDescent="0.3">
      <c r="A995" s="3">
        <f>IF(B994=1, MAX(A$7:A994)+1, A994)</f>
        <v>56</v>
      </c>
      <c r="B995" s="3">
        <v>3</v>
      </c>
      <c r="C995" s="11" t="s">
        <v>1363</v>
      </c>
      <c r="D995" s="3">
        <v>29</v>
      </c>
      <c r="E995" s="3">
        <v>65</v>
      </c>
      <c r="F995" s="3" t="s">
        <v>42</v>
      </c>
      <c r="G995" s="3">
        <v>4</v>
      </c>
      <c r="H995" s="3">
        <v>4</v>
      </c>
    </row>
    <row r="996" spans="1:8" ht="14" x14ac:dyDescent="0.3">
      <c r="A996" s="3">
        <f>IF(B995=1, MAX(A$7:A995)+1, A995)</f>
        <v>56</v>
      </c>
      <c r="B996" s="3">
        <v>4</v>
      </c>
      <c r="C996" s="11" t="s">
        <v>1364</v>
      </c>
      <c r="D996" s="3">
        <v>29</v>
      </c>
      <c r="E996" s="3">
        <v>65</v>
      </c>
      <c r="F996" s="3" t="s">
        <v>42</v>
      </c>
      <c r="G996" s="3">
        <v>4</v>
      </c>
      <c r="H996" s="3">
        <v>4</v>
      </c>
    </row>
    <row r="997" spans="1:8" ht="14" x14ac:dyDescent="0.3">
      <c r="A997" s="3">
        <f>IF(B996=1, MAX(A$7:A996)+1, A996)</f>
        <v>56</v>
      </c>
      <c r="B997" s="3">
        <v>5</v>
      </c>
      <c r="C997" s="11" t="s">
        <v>1365</v>
      </c>
      <c r="D997" s="3">
        <v>4</v>
      </c>
      <c r="E997" s="3">
        <v>16</v>
      </c>
      <c r="F997" s="3" t="s">
        <v>42</v>
      </c>
      <c r="G997" s="3">
        <v>4</v>
      </c>
      <c r="H997" s="3">
        <v>4</v>
      </c>
    </row>
    <row r="998" spans="1:8" ht="14" x14ac:dyDescent="0.3">
      <c r="A998" s="3">
        <f>IF(B997=1, MAX(A$7:A997)+1, A997)</f>
        <v>56</v>
      </c>
      <c r="B998" s="3">
        <v>6</v>
      </c>
      <c r="C998" s="11" t="s">
        <v>1366</v>
      </c>
      <c r="D998" s="3">
        <v>4</v>
      </c>
      <c r="E998" s="3">
        <v>16</v>
      </c>
      <c r="F998" s="3" t="s">
        <v>42</v>
      </c>
      <c r="G998" s="3">
        <v>4</v>
      </c>
      <c r="H998" s="3">
        <v>4</v>
      </c>
    </row>
    <row r="999" spans="1:8" ht="14" x14ac:dyDescent="0.3">
      <c r="A999" s="3">
        <f>IF(B998=1, MAX(A$7:A998)+1, A998)</f>
        <v>56</v>
      </c>
      <c r="B999" s="3">
        <v>7</v>
      </c>
      <c r="C999" s="11" t="s">
        <v>1367</v>
      </c>
      <c r="D999" s="3">
        <v>4</v>
      </c>
      <c r="E999" s="3">
        <v>16</v>
      </c>
      <c r="F999" s="3" t="s">
        <v>42</v>
      </c>
      <c r="G999" s="3">
        <v>4</v>
      </c>
      <c r="H999" s="3">
        <v>4</v>
      </c>
    </row>
    <row r="1000" spans="1:8" ht="14" x14ac:dyDescent="0.3">
      <c r="A1000" s="3">
        <f>IF(B999=1, MAX(A$7:A999)+1, A999)</f>
        <v>56</v>
      </c>
      <c r="B1000" s="3">
        <v>8</v>
      </c>
      <c r="C1000" s="11" t="s">
        <v>1368</v>
      </c>
      <c r="D1000" s="3">
        <v>4</v>
      </c>
      <c r="E1000" s="3">
        <v>16</v>
      </c>
      <c r="F1000" s="3" t="s">
        <v>42</v>
      </c>
      <c r="G1000" s="3">
        <v>4</v>
      </c>
      <c r="H1000" s="3">
        <v>4</v>
      </c>
    </row>
    <row r="1001" spans="1:8" ht="14" x14ac:dyDescent="0.3">
      <c r="A1001" s="3">
        <f>IF(B1000=1, MAX(A$7:A1000)+1, A1000)</f>
        <v>56</v>
      </c>
      <c r="B1001" s="3">
        <v>1</v>
      </c>
      <c r="C1001" s="11" t="s">
        <v>1369</v>
      </c>
      <c r="D1001" s="3">
        <v>4.0599999999999996</v>
      </c>
      <c r="E1001" s="3">
        <v>4.34</v>
      </c>
      <c r="F1001" s="3" t="s">
        <v>8</v>
      </c>
      <c r="G1001" s="3">
        <v>4</v>
      </c>
      <c r="H1001" s="3">
        <v>4</v>
      </c>
    </row>
    <row r="1002" spans="1:8" ht="14" x14ac:dyDescent="0.3">
      <c r="A1002" s="3">
        <f>IF(B1001=1, MAX(A$7:A1001)+1, A1001)</f>
        <v>57</v>
      </c>
      <c r="B1002" s="3">
        <v>2</v>
      </c>
      <c r="C1002" s="11" t="s">
        <v>1370</v>
      </c>
      <c r="D1002" s="3">
        <v>3.8029999999999999</v>
      </c>
      <c r="E1002" s="3">
        <v>4.0970000000000004</v>
      </c>
      <c r="F1002" s="3" t="s">
        <v>8</v>
      </c>
      <c r="G1002" s="3">
        <v>4</v>
      </c>
      <c r="H1002" s="3">
        <v>4</v>
      </c>
    </row>
    <row r="1003" spans="1:8" ht="14" x14ac:dyDescent="0.3">
      <c r="A1003" s="3">
        <f>IF(B1002=1, MAX(A$7:A1002)+1, A1002)</f>
        <v>57</v>
      </c>
      <c r="B1003" s="3">
        <v>3</v>
      </c>
      <c r="C1003" s="11" t="s">
        <v>1371</v>
      </c>
      <c r="D1003" s="3">
        <v>0.15</v>
      </c>
      <c r="E1003" s="3">
        <v>0.35</v>
      </c>
      <c r="F1003" s="3" t="s">
        <v>8</v>
      </c>
      <c r="G1003" s="3">
        <v>4</v>
      </c>
      <c r="H1003" s="3">
        <v>4</v>
      </c>
    </row>
    <row r="1004" spans="1:8" ht="14" x14ac:dyDescent="0.3">
      <c r="A1004" s="3">
        <f>IF(B1003=1, MAX(A$7:A1003)+1, A1003)</f>
        <v>57</v>
      </c>
      <c r="B1004" s="3">
        <v>4</v>
      </c>
      <c r="C1004" s="11" t="s">
        <v>1372</v>
      </c>
      <c r="D1004" s="3">
        <v>4.0599999999999996</v>
      </c>
      <c r="E1004" s="3">
        <v>4.34</v>
      </c>
      <c r="F1004" s="3" t="s">
        <v>8</v>
      </c>
      <c r="G1004" s="3">
        <v>4</v>
      </c>
      <c r="H1004" s="3">
        <v>4</v>
      </c>
    </row>
    <row r="1005" spans="1:8" ht="14" x14ac:dyDescent="0.3">
      <c r="A1005" s="3">
        <f>IF(B1004=1, MAX(A$7:A1004)+1, A1004)</f>
        <v>57</v>
      </c>
      <c r="B1005" s="3">
        <v>5</v>
      </c>
      <c r="C1005" s="11" t="s">
        <v>1373</v>
      </c>
      <c r="D1005" s="3">
        <v>3.8029999999999999</v>
      </c>
      <c r="E1005" s="3">
        <v>4.0970000000000004</v>
      </c>
      <c r="F1005" s="3" t="s">
        <v>8</v>
      </c>
      <c r="G1005" s="3">
        <v>4</v>
      </c>
      <c r="H1005" s="3">
        <v>4</v>
      </c>
    </row>
    <row r="1006" spans="1:8" ht="14" x14ac:dyDescent="0.3">
      <c r="A1006" s="3">
        <f>IF(B1005=1, MAX(A$7:A1005)+1, A1005)</f>
        <v>57</v>
      </c>
      <c r="B1006" s="3">
        <v>6</v>
      </c>
      <c r="C1006" s="11" t="s">
        <v>1374</v>
      </c>
      <c r="D1006" s="3">
        <v>0.15</v>
      </c>
      <c r="E1006" s="3">
        <v>0.35</v>
      </c>
      <c r="F1006" s="3" t="s">
        <v>8</v>
      </c>
      <c r="G1006" s="3">
        <v>4</v>
      </c>
      <c r="H1006" s="3">
        <v>4</v>
      </c>
    </row>
    <row r="1007" spans="1:8" ht="14" x14ac:dyDescent="0.3">
      <c r="A1007" s="3">
        <f>IF(B1006=1, MAX(A$7:A1006)+1, A1006)</f>
        <v>57</v>
      </c>
      <c r="B1007" s="3">
        <v>7</v>
      </c>
      <c r="C1007" s="11" t="s">
        <v>1375</v>
      </c>
      <c r="D1007" s="3">
        <v>4.0599999999999996</v>
      </c>
      <c r="E1007" s="3">
        <v>4.34</v>
      </c>
      <c r="F1007" s="3" t="s">
        <v>8</v>
      </c>
      <c r="G1007" s="3">
        <v>4</v>
      </c>
      <c r="H1007" s="3">
        <v>4</v>
      </c>
    </row>
    <row r="1008" spans="1:8" ht="14" x14ac:dyDescent="0.3">
      <c r="A1008" s="3">
        <f>IF(B1007=1, MAX(A$7:A1007)+1, A1007)</f>
        <v>57</v>
      </c>
      <c r="B1008" s="3">
        <v>8</v>
      </c>
      <c r="C1008" s="11" t="s">
        <v>1376</v>
      </c>
      <c r="D1008" s="3">
        <v>3.8029999999999999</v>
      </c>
      <c r="E1008" s="3">
        <v>4.0970000000000004</v>
      </c>
      <c r="F1008" s="3" t="s">
        <v>8</v>
      </c>
      <c r="G1008" s="3">
        <v>4</v>
      </c>
      <c r="H1008" s="3">
        <v>4</v>
      </c>
    </row>
    <row r="1009" spans="1:8" ht="14" x14ac:dyDescent="0.3">
      <c r="A1009" s="3">
        <f>IF(B1008=1, MAX(A$7:A1008)+1, A1008)</f>
        <v>57</v>
      </c>
      <c r="B1009" s="3">
        <v>9</v>
      </c>
      <c r="C1009" s="11" t="s">
        <v>1377</v>
      </c>
      <c r="D1009" s="3">
        <v>0.15</v>
      </c>
      <c r="E1009" s="3">
        <v>0.35</v>
      </c>
      <c r="F1009" s="3" t="s">
        <v>8</v>
      </c>
      <c r="G1009" s="3">
        <v>4</v>
      </c>
      <c r="H1009" s="3">
        <v>4</v>
      </c>
    </row>
    <row r="1010" spans="1:8" ht="14" x14ac:dyDescent="0.3">
      <c r="A1010" s="3">
        <f>IF(B1009=1, MAX(A$7:A1009)+1, A1009)</f>
        <v>57</v>
      </c>
      <c r="B1010" s="3">
        <v>10</v>
      </c>
      <c r="C1010" s="11" t="s">
        <v>1378</v>
      </c>
      <c r="D1010" s="3">
        <v>4.0599999999999996</v>
      </c>
      <c r="E1010" s="3">
        <v>4.34</v>
      </c>
      <c r="F1010" s="3" t="s">
        <v>8</v>
      </c>
      <c r="G1010" s="3">
        <v>4</v>
      </c>
      <c r="H1010" s="3">
        <v>4</v>
      </c>
    </row>
    <row r="1011" spans="1:8" ht="14" x14ac:dyDescent="0.3">
      <c r="A1011" s="3">
        <f>IF(B1010=1, MAX(A$7:A1010)+1, A1010)</f>
        <v>57</v>
      </c>
      <c r="B1011" s="3">
        <v>11</v>
      </c>
      <c r="C1011" s="11" t="s">
        <v>1379</v>
      </c>
      <c r="D1011" s="3">
        <v>3.8029999999999999</v>
      </c>
      <c r="E1011" s="3">
        <v>4.0970000000000004</v>
      </c>
      <c r="F1011" s="3" t="s">
        <v>8</v>
      </c>
      <c r="G1011" s="3">
        <v>4</v>
      </c>
      <c r="H1011" s="3">
        <v>4</v>
      </c>
    </row>
    <row r="1012" spans="1:8" ht="14" x14ac:dyDescent="0.3">
      <c r="A1012" s="3">
        <f>IF(B1011=1, MAX(A$7:A1011)+1, A1011)</f>
        <v>57</v>
      </c>
      <c r="B1012" s="3">
        <v>12</v>
      </c>
      <c r="C1012" s="11" t="s">
        <v>1380</v>
      </c>
      <c r="D1012" s="3">
        <v>0.15</v>
      </c>
      <c r="E1012" s="3">
        <v>0.35</v>
      </c>
      <c r="F1012" s="3" t="s">
        <v>8</v>
      </c>
      <c r="G1012" s="3">
        <v>4</v>
      </c>
      <c r="H1012" s="3">
        <v>4</v>
      </c>
    </row>
    <row r="1013" spans="1:8" ht="14" x14ac:dyDescent="0.3">
      <c r="A1013" s="3">
        <f>IF(B1012=1, MAX(A$7:A1012)+1, A1012)</f>
        <v>57</v>
      </c>
      <c r="B1013" s="3">
        <v>1</v>
      </c>
      <c r="C1013" s="11" t="s">
        <v>1381</v>
      </c>
      <c r="D1013" s="3">
        <v>460</v>
      </c>
      <c r="E1013" s="3">
        <v>500</v>
      </c>
      <c r="F1013" s="3" t="s">
        <v>33</v>
      </c>
      <c r="G1013" s="3">
        <v>4</v>
      </c>
      <c r="H1013" s="3">
        <v>4</v>
      </c>
    </row>
    <row r="1014" spans="1:8" ht="14" x14ac:dyDescent="0.3">
      <c r="A1014" s="3">
        <f>IF(B1013=1, MAX(A$7:A1013)+1, A1013)</f>
        <v>58</v>
      </c>
      <c r="B1014" s="3">
        <v>2</v>
      </c>
      <c r="C1014" s="11" t="s">
        <v>1382</v>
      </c>
      <c r="D1014" s="3">
        <v>500</v>
      </c>
      <c r="E1014" s="3">
        <v>540</v>
      </c>
      <c r="F1014" s="3" t="s">
        <v>33</v>
      </c>
      <c r="G1014" s="3">
        <v>4</v>
      </c>
      <c r="H1014" s="3">
        <v>4</v>
      </c>
    </row>
    <row r="1015" spans="1:8" ht="14" x14ac:dyDescent="0.3">
      <c r="A1015" s="3">
        <f>IF(B1014=1, MAX(A$7:A1014)+1, A1014)</f>
        <v>58</v>
      </c>
      <c r="B1015" s="3">
        <v>3</v>
      </c>
      <c r="C1015" s="11" t="s">
        <v>1383</v>
      </c>
      <c r="D1015" s="3">
        <v>460</v>
      </c>
      <c r="E1015" s="3">
        <v>500</v>
      </c>
      <c r="F1015" s="3" t="s">
        <v>33</v>
      </c>
      <c r="G1015" s="3">
        <v>4</v>
      </c>
      <c r="H1015" s="3">
        <v>4</v>
      </c>
    </row>
    <row r="1016" spans="1:8" ht="14" x14ac:dyDescent="0.3">
      <c r="A1016" s="3">
        <f>IF(B1015=1, MAX(A$7:A1015)+1, A1015)</f>
        <v>58</v>
      </c>
      <c r="B1016" s="3">
        <v>4</v>
      </c>
      <c r="C1016" s="11" t="s">
        <v>1384</v>
      </c>
      <c r="D1016" s="3">
        <v>500</v>
      </c>
      <c r="E1016" s="3">
        <v>540</v>
      </c>
      <c r="F1016" s="3" t="s">
        <v>33</v>
      </c>
      <c r="G1016" s="3">
        <v>4</v>
      </c>
      <c r="H1016" s="3">
        <v>4</v>
      </c>
    </row>
    <row r="1017" spans="1:8" ht="14" x14ac:dyDescent="0.3">
      <c r="A1017" s="3">
        <f>IF(B1016=1, MAX(A$7:A1016)+1, A1016)</f>
        <v>58</v>
      </c>
      <c r="B1017" s="3">
        <v>5</v>
      </c>
      <c r="C1017" s="11" t="s">
        <v>1385</v>
      </c>
      <c r="D1017" s="3">
        <v>665</v>
      </c>
      <c r="E1017" s="3">
        <v>705</v>
      </c>
      <c r="F1017" s="3" t="s">
        <v>33</v>
      </c>
      <c r="G1017" s="3">
        <v>4</v>
      </c>
      <c r="H1017" s="3">
        <v>4</v>
      </c>
    </row>
    <row r="1018" spans="1:8" ht="14" x14ac:dyDescent="0.3">
      <c r="A1018" s="3">
        <f>IF(B1017=1, MAX(A$7:A1017)+1, A1017)</f>
        <v>58</v>
      </c>
      <c r="B1018" s="3">
        <v>6</v>
      </c>
      <c r="C1018" s="11" t="s">
        <v>1386</v>
      </c>
      <c r="D1018" s="3">
        <v>665</v>
      </c>
      <c r="E1018" s="3">
        <v>705</v>
      </c>
      <c r="F1018" s="3" t="s">
        <v>33</v>
      </c>
      <c r="G1018" s="3">
        <v>4</v>
      </c>
      <c r="H1018" s="3">
        <v>4</v>
      </c>
    </row>
    <row r="1019" spans="1:8" ht="14" x14ac:dyDescent="0.3">
      <c r="A1019" s="3">
        <f>IF(B1018=1, MAX(A$7:A1018)+1, A1018)</f>
        <v>58</v>
      </c>
      <c r="B1019" s="3">
        <v>1</v>
      </c>
      <c r="C1019" s="11" t="s">
        <v>1387</v>
      </c>
      <c r="D1019" s="3">
        <v>4.4000000000000004</v>
      </c>
      <c r="E1019" s="3">
        <v>5.85</v>
      </c>
      <c r="F1019" s="3" t="s">
        <v>900</v>
      </c>
      <c r="G1019" s="3">
        <v>4</v>
      </c>
      <c r="H1019" s="3">
        <v>4</v>
      </c>
    </row>
    <row r="1020" spans="1:8" ht="14" x14ac:dyDescent="0.3">
      <c r="A1020" s="3">
        <f>IF(B1019=1, MAX(A$7:A1019)+1, A1019)</f>
        <v>59</v>
      </c>
      <c r="B1020" s="3">
        <v>2</v>
      </c>
      <c r="C1020" s="11" t="s">
        <v>1388</v>
      </c>
      <c r="D1020" s="3">
        <v>4.4000000000000004</v>
      </c>
      <c r="E1020" s="3">
        <v>5.85</v>
      </c>
      <c r="F1020" s="3" t="s">
        <v>900</v>
      </c>
      <c r="G1020" s="3">
        <v>4</v>
      </c>
      <c r="H1020" s="3">
        <v>4</v>
      </c>
    </row>
    <row r="1021" spans="1:8" ht="14" x14ac:dyDescent="0.3">
      <c r="A1021" s="3">
        <f>IF(B1020=1, MAX(A$7:A1020)+1, A1020)</f>
        <v>59</v>
      </c>
      <c r="B1021" s="3">
        <v>3</v>
      </c>
      <c r="C1021" s="11" t="s">
        <v>1389</v>
      </c>
      <c r="D1021" s="3">
        <v>4.4000000000000004</v>
      </c>
      <c r="E1021" s="3">
        <v>5.85</v>
      </c>
      <c r="F1021" s="3" t="s">
        <v>900</v>
      </c>
      <c r="G1021" s="3">
        <v>4</v>
      </c>
      <c r="H1021" s="3">
        <v>4</v>
      </c>
    </row>
    <row r="1022" spans="1:8" ht="14" x14ac:dyDescent="0.3">
      <c r="A1022" s="3">
        <f>IF(B1021=1, MAX(A$7:A1021)+1, A1021)</f>
        <v>59</v>
      </c>
      <c r="B1022" s="3">
        <v>4</v>
      </c>
      <c r="C1022" s="11" t="s">
        <v>1390</v>
      </c>
      <c r="D1022" s="3">
        <v>4.4000000000000004</v>
      </c>
      <c r="E1022" s="3">
        <v>5.85</v>
      </c>
      <c r="F1022" s="3" t="s">
        <v>900</v>
      </c>
      <c r="G1022" s="3">
        <v>4</v>
      </c>
      <c r="H1022" s="3">
        <v>4</v>
      </c>
    </row>
    <row r="1023" spans="1:8" ht="14" x14ac:dyDescent="0.3">
      <c r="A1023" s="3">
        <f>IF(B1022=1, MAX(A$7:A1022)+1, A1022)</f>
        <v>59</v>
      </c>
      <c r="B1023" s="3">
        <v>5</v>
      </c>
      <c r="C1023" s="11" t="s">
        <v>1391</v>
      </c>
      <c r="D1023" s="3">
        <v>0.01</v>
      </c>
      <c r="E1023" s="3">
        <v>0.6</v>
      </c>
      <c r="F1023" s="3" t="s">
        <v>18</v>
      </c>
      <c r="G1023" s="3">
        <v>4</v>
      </c>
      <c r="H1023" s="3">
        <v>4</v>
      </c>
    </row>
    <row r="1024" spans="1:8" ht="14" x14ac:dyDescent="0.3">
      <c r="A1024" s="3">
        <f>IF(B1023=1, MAX(A$7:A1023)+1, A1023)</f>
        <v>59</v>
      </c>
      <c r="B1024" s="3">
        <v>6</v>
      </c>
      <c r="C1024" s="11" t="s">
        <v>1392</v>
      </c>
      <c r="D1024" s="3">
        <v>0.01</v>
      </c>
      <c r="E1024" s="3">
        <v>0.6</v>
      </c>
      <c r="F1024" s="3" t="s">
        <v>18</v>
      </c>
      <c r="G1024" s="3">
        <v>4</v>
      </c>
      <c r="H1024" s="3">
        <v>4</v>
      </c>
    </row>
    <row r="1025" spans="1:8" ht="14" x14ac:dyDescent="0.3">
      <c r="A1025" s="3">
        <f>IF(B1024=1, MAX(A$7:A1024)+1, A1024)</f>
        <v>59</v>
      </c>
      <c r="B1025" s="3">
        <v>7</v>
      </c>
      <c r="C1025" s="11" t="s">
        <v>1393</v>
      </c>
      <c r="D1025" s="3">
        <v>0.01</v>
      </c>
      <c r="E1025" s="3">
        <v>0.6</v>
      </c>
      <c r="F1025" s="3" t="s">
        <v>18</v>
      </c>
      <c r="G1025" s="3">
        <v>4</v>
      </c>
      <c r="H1025" s="3">
        <v>4</v>
      </c>
    </row>
    <row r="1026" spans="1:8" ht="14" x14ac:dyDescent="0.3">
      <c r="A1026" s="3">
        <f>IF(B1025=1, MAX(A$7:A1025)+1, A1025)</f>
        <v>59</v>
      </c>
      <c r="B1026" s="3">
        <v>8</v>
      </c>
      <c r="C1026" s="11" t="s">
        <v>1394</v>
      </c>
      <c r="D1026" s="3">
        <v>0.01</v>
      </c>
      <c r="E1026" s="3">
        <v>0.6</v>
      </c>
      <c r="F1026" s="3" t="s">
        <v>18</v>
      </c>
      <c r="G1026" s="3">
        <v>4</v>
      </c>
      <c r="H1026" s="3">
        <v>4</v>
      </c>
    </row>
    <row r="1027" spans="1:8" ht="14" x14ac:dyDescent="0.3">
      <c r="A1027" s="3">
        <f>IF(B1026=1, MAX(A$7:A1026)+1, A1026)</f>
        <v>59</v>
      </c>
      <c r="B1027" s="3">
        <v>1</v>
      </c>
      <c r="C1027" s="11" t="s">
        <v>1395</v>
      </c>
      <c r="D1027" s="3">
        <v>5.5</v>
      </c>
      <c r="E1027" s="3">
        <v>6</v>
      </c>
      <c r="F1027" s="3" t="s">
        <v>1046</v>
      </c>
      <c r="G1027" s="3">
        <v>4</v>
      </c>
      <c r="H1027" s="3">
        <v>4</v>
      </c>
    </row>
    <row r="1028" spans="1:8" ht="14" x14ac:dyDescent="0.3">
      <c r="A1028" s="3">
        <f>IF(B1027=1, MAX(A$7:A1027)+1, A1027)</f>
        <v>60</v>
      </c>
      <c r="B1028" s="3">
        <v>2</v>
      </c>
      <c r="C1028" s="11" t="s">
        <v>1396</v>
      </c>
      <c r="D1028" s="3">
        <v>5.5</v>
      </c>
      <c r="E1028" s="3">
        <v>6</v>
      </c>
      <c r="F1028" s="3" t="s">
        <v>1046</v>
      </c>
      <c r="G1028" s="3">
        <v>4</v>
      </c>
      <c r="H1028" s="3">
        <v>4</v>
      </c>
    </row>
    <row r="1029" spans="1:8" ht="14" x14ac:dyDescent="0.3">
      <c r="A1029" s="3">
        <f>IF(B1028=1, MAX(A$7:A1028)+1, A1028)</f>
        <v>60</v>
      </c>
      <c r="B1029" s="3">
        <v>3</v>
      </c>
      <c r="C1029" s="11" t="s">
        <v>1397</v>
      </c>
      <c r="D1029" s="3">
        <v>30</v>
      </c>
      <c r="E1029" s="3">
        <v>35</v>
      </c>
      <c r="F1029" s="3" t="s">
        <v>1046</v>
      </c>
      <c r="G1029" s="3">
        <v>4</v>
      </c>
      <c r="H1029" s="3">
        <v>4</v>
      </c>
    </row>
    <row r="1030" spans="1:8" ht="14" x14ac:dyDescent="0.3">
      <c r="A1030" s="3">
        <f>IF(B1029=1, MAX(A$7:A1029)+1, A1029)</f>
        <v>60</v>
      </c>
      <c r="B1030" s="3">
        <v>4</v>
      </c>
      <c r="C1030" s="11" t="s">
        <v>1398</v>
      </c>
      <c r="D1030" s="3">
        <v>40</v>
      </c>
      <c r="E1030" s="3">
        <v>50</v>
      </c>
      <c r="F1030" s="3" t="s">
        <v>1046</v>
      </c>
      <c r="G1030" s="3">
        <v>4</v>
      </c>
      <c r="H1030" s="3">
        <v>4</v>
      </c>
    </row>
    <row r="1031" spans="1:8" ht="14" x14ac:dyDescent="0.3">
      <c r="A1031" s="3">
        <f>IF(B1030=1, MAX(A$7:A1030)+1, A1030)</f>
        <v>60</v>
      </c>
      <c r="B1031" s="3">
        <v>5</v>
      </c>
      <c r="C1031" s="11" t="s">
        <v>1399</v>
      </c>
      <c r="D1031" s="3">
        <v>40</v>
      </c>
      <c r="E1031" s="3">
        <v>50</v>
      </c>
      <c r="F1031" s="3" t="s">
        <v>1046</v>
      </c>
      <c r="G1031" s="3">
        <v>4</v>
      </c>
      <c r="H1031" s="3">
        <v>4</v>
      </c>
    </row>
    <row r="1032" spans="1:8" ht="14" x14ac:dyDescent="0.3">
      <c r="A1032" s="3">
        <f>IF(B1031=1, MAX(A$7:A1031)+1, A1031)</f>
        <v>60</v>
      </c>
      <c r="B1032" s="3">
        <v>6</v>
      </c>
      <c r="C1032" s="11" t="s">
        <v>1400</v>
      </c>
      <c r="D1032" s="3">
        <v>1.7</v>
      </c>
      <c r="E1032" s="3">
        <v>2.6</v>
      </c>
      <c r="F1032" s="3" t="s">
        <v>900</v>
      </c>
      <c r="G1032" s="3">
        <v>4</v>
      </c>
      <c r="H1032" s="3">
        <v>4</v>
      </c>
    </row>
    <row r="1033" spans="1:8" ht="14" x14ac:dyDescent="0.3">
      <c r="A1033" s="3">
        <f>IF(B1032=1, MAX(A$7:A1032)+1, A1032)</f>
        <v>60</v>
      </c>
      <c r="B1033" s="3">
        <v>7</v>
      </c>
      <c r="C1033" s="11" t="s">
        <v>1401</v>
      </c>
      <c r="D1033" s="3">
        <v>1.7</v>
      </c>
      <c r="E1033" s="3">
        <v>2.6</v>
      </c>
      <c r="F1033" s="3" t="s">
        <v>900</v>
      </c>
      <c r="G1033" s="3">
        <v>4</v>
      </c>
      <c r="H1033" s="3">
        <v>4</v>
      </c>
    </row>
    <row r="1034" spans="1:8" ht="14" x14ac:dyDescent="0.3">
      <c r="A1034" s="3">
        <f>IF(B1033=1, MAX(A$7:A1033)+1, A1033)</f>
        <v>60</v>
      </c>
      <c r="B1034" s="3">
        <v>1</v>
      </c>
      <c r="C1034" s="11" t="s">
        <v>1402</v>
      </c>
      <c r="D1034" s="3">
        <v>500</v>
      </c>
      <c r="E1034" s="3">
        <v>900</v>
      </c>
      <c r="F1034" s="3" t="s">
        <v>18</v>
      </c>
      <c r="G1034" s="3">
        <v>4</v>
      </c>
      <c r="H1034" s="3">
        <v>4</v>
      </c>
    </row>
    <row r="1035" spans="1:8" ht="14" x14ac:dyDescent="0.3">
      <c r="A1035" s="3">
        <f>IF(B1034=1, MAX(A$7:A1034)+1, A1034)</f>
        <v>61</v>
      </c>
      <c r="B1035" s="3">
        <v>2</v>
      </c>
      <c r="C1035" s="11" t="s">
        <v>1403</v>
      </c>
      <c r="D1035" s="3">
        <v>500</v>
      </c>
      <c r="E1035" s="3">
        <v>900</v>
      </c>
      <c r="F1035" s="3" t="s">
        <v>18</v>
      </c>
      <c r="G1035" s="3">
        <v>4</v>
      </c>
      <c r="H1035" s="3">
        <v>4</v>
      </c>
    </row>
    <row r="1036" spans="1:8" ht="14" x14ac:dyDescent="0.3">
      <c r="A1036" s="3">
        <f>IF(B1035=1, MAX(A$7:A1035)+1, A1035)</f>
        <v>61</v>
      </c>
      <c r="B1036" s="3">
        <v>3</v>
      </c>
      <c r="C1036" s="11" t="s">
        <v>1404</v>
      </c>
      <c r="D1036" s="3">
        <v>0.5</v>
      </c>
      <c r="E1036" s="3">
        <v>6.5</v>
      </c>
      <c r="F1036" s="3" t="s">
        <v>18</v>
      </c>
      <c r="G1036" s="3">
        <v>4</v>
      </c>
      <c r="H1036" s="3">
        <v>4</v>
      </c>
    </row>
    <row r="1037" spans="1:8" ht="14" x14ac:dyDescent="0.3">
      <c r="A1037" s="3">
        <f>IF(B1036=1, MAX(A$7:A1036)+1, A1036)</f>
        <v>61</v>
      </c>
      <c r="B1037" s="3">
        <v>4</v>
      </c>
      <c r="C1037" s="11" t="s">
        <v>1405</v>
      </c>
      <c r="D1037" s="3">
        <v>0.5</v>
      </c>
      <c r="E1037" s="3">
        <v>6.5</v>
      </c>
      <c r="F1037" s="3" t="s">
        <v>18</v>
      </c>
      <c r="G1037" s="3">
        <v>4</v>
      </c>
      <c r="H1037" s="3">
        <v>4</v>
      </c>
    </row>
    <row r="1038" spans="1:8" ht="14" x14ac:dyDescent="0.3">
      <c r="A1038" s="3">
        <f>IF(B1037=1, MAX(A$7:A1037)+1, A1037)</f>
        <v>61</v>
      </c>
      <c r="B1038" s="3">
        <v>5</v>
      </c>
      <c r="C1038" s="11" t="s">
        <v>1406</v>
      </c>
      <c r="D1038" s="3">
        <v>0.5</v>
      </c>
      <c r="E1038" s="3">
        <v>6.5</v>
      </c>
      <c r="F1038" s="3" t="s">
        <v>18</v>
      </c>
      <c r="G1038" s="3">
        <v>4</v>
      </c>
      <c r="H1038" s="3">
        <v>4</v>
      </c>
    </row>
    <row r="1039" spans="1:8" ht="14" x14ac:dyDescent="0.3">
      <c r="A1039" s="3">
        <f>IF(B1038=1, MAX(A$7:A1038)+1, A1038)</f>
        <v>61</v>
      </c>
      <c r="B1039" s="3">
        <v>6</v>
      </c>
      <c r="C1039" s="11" t="s">
        <v>1407</v>
      </c>
      <c r="D1039" s="3">
        <v>0.5</v>
      </c>
      <c r="E1039" s="3">
        <v>6.5</v>
      </c>
      <c r="F1039" s="3" t="s">
        <v>18</v>
      </c>
      <c r="G1039" s="3">
        <v>4</v>
      </c>
      <c r="H1039" s="3">
        <v>4</v>
      </c>
    </row>
    <row r="1040" spans="1:8" ht="14" x14ac:dyDescent="0.3">
      <c r="A1040" s="3">
        <f>IF(B1039=1, MAX(A$7:A1039)+1, A1039)</f>
        <v>61</v>
      </c>
      <c r="B1040" s="3">
        <v>7</v>
      </c>
      <c r="C1040" s="11" t="s">
        <v>1408</v>
      </c>
      <c r="D1040" s="3">
        <v>2</v>
      </c>
      <c r="E1040" s="3">
        <v>6</v>
      </c>
      <c r="F1040" s="3" t="s">
        <v>18</v>
      </c>
      <c r="G1040" s="3">
        <v>4</v>
      </c>
      <c r="H1040" s="3">
        <v>4</v>
      </c>
    </row>
    <row r="1041" spans="1:8" ht="14" x14ac:dyDescent="0.3">
      <c r="A1041" s="3">
        <f>IF(B1040=1, MAX(A$7:A1040)+1, A1040)</f>
        <v>61</v>
      </c>
      <c r="B1041" s="3">
        <v>8</v>
      </c>
      <c r="C1041" s="11" t="s">
        <v>1409</v>
      </c>
      <c r="D1041" s="3">
        <v>2</v>
      </c>
      <c r="E1041" s="3">
        <v>6</v>
      </c>
      <c r="F1041" s="3" t="s">
        <v>18</v>
      </c>
      <c r="G1041" s="3">
        <v>4</v>
      </c>
      <c r="H1041" s="3">
        <v>4</v>
      </c>
    </row>
    <row r="1042" spans="1:8" ht="14" x14ac:dyDescent="0.3">
      <c r="A1042" s="3">
        <f>IF(B1041=1, MAX(A$7:A1041)+1, A1041)</f>
        <v>61</v>
      </c>
      <c r="B1042" s="3">
        <v>9</v>
      </c>
      <c r="C1042" s="11" t="s">
        <v>1410</v>
      </c>
      <c r="D1042" s="3">
        <v>4</v>
      </c>
      <c r="E1042" s="3">
        <v>9.5</v>
      </c>
      <c r="F1042" s="3" t="s">
        <v>18</v>
      </c>
      <c r="G1042" s="3">
        <v>4</v>
      </c>
      <c r="H1042" s="3">
        <v>4</v>
      </c>
    </row>
    <row r="1043" spans="1:8" ht="14" x14ac:dyDescent="0.3">
      <c r="A1043" s="3">
        <f>IF(B1042=1, MAX(A$7:A1042)+1, A1042)</f>
        <v>61</v>
      </c>
      <c r="B1043" s="3">
        <v>10</v>
      </c>
      <c r="C1043" s="11" t="s">
        <v>1411</v>
      </c>
      <c r="D1043" s="3">
        <v>4</v>
      </c>
      <c r="E1043" s="3">
        <v>9.5</v>
      </c>
      <c r="F1043" s="3" t="s">
        <v>18</v>
      </c>
      <c r="G1043" s="3">
        <v>4</v>
      </c>
      <c r="H1043" s="3">
        <v>4</v>
      </c>
    </row>
    <row r="1044" spans="1:8" ht="14" x14ac:dyDescent="0.3">
      <c r="A1044" s="3">
        <f>IF(B1043=1, MAX(A$7:A1043)+1, A1043)</f>
        <v>61</v>
      </c>
      <c r="B1044" s="3">
        <v>11</v>
      </c>
      <c r="C1044" s="11" t="s">
        <v>1412</v>
      </c>
      <c r="D1044" s="3">
        <v>4</v>
      </c>
      <c r="E1044" s="3">
        <v>9.5</v>
      </c>
      <c r="F1044" s="3" t="s">
        <v>18</v>
      </c>
      <c r="G1044" s="3">
        <v>4</v>
      </c>
      <c r="H1044" s="3">
        <v>4</v>
      </c>
    </row>
    <row r="1045" spans="1:8" ht="14" x14ac:dyDescent="0.3">
      <c r="A1045" s="3">
        <f>IF(B1044=1, MAX(A$7:A1044)+1, A1044)</f>
        <v>61</v>
      </c>
      <c r="B1045" s="3">
        <v>12</v>
      </c>
      <c r="C1045" s="11" t="s">
        <v>1413</v>
      </c>
      <c r="D1045" s="3">
        <v>4</v>
      </c>
      <c r="E1045" s="3">
        <v>9.5</v>
      </c>
      <c r="F1045" s="3" t="s">
        <v>18</v>
      </c>
      <c r="G1045" s="3">
        <v>4</v>
      </c>
      <c r="H1045" s="3">
        <v>4</v>
      </c>
    </row>
    <row r="1046" spans="1:8" ht="14" x14ac:dyDescent="0.3">
      <c r="A1046" s="3">
        <f>IF(B1045=1, MAX(A$7:A1045)+1, A1045)</f>
        <v>61</v>
      </c>
      <c r="B1046" s="3">
        <v>13</v>
      </c>
      <c r="C1046" s="11" t="s">
        <v>1414</v>
      </c>
      <c r="D1046" s="3">
        <v>-1</v>
      </c>
      <c r="E1046" s="3">
        <v>1</v>
      </c>
      <c r="F1046" s="3" t="s">
        <v>18</v>
      </c>
      <c r="G1046" s="3">
        <v>4</v>
      </c>
      <c r="H1046" s="3">
        <v>4</v>
      </c>
    </row>
    <row r="1047" spans="1:8" ht="14" x14ac:dyDescent="0.3">
      <c r="A1047" s="3">
        <f>IF(B1046=1, MAX(A$7:A1046)+1, A1046)</f>
        <v>61</v>
      </c>
      <c r="B1047" s="3">
        <v>14</v>
      </c>
      <c r="C1047" s="11" t="s">
        <v>1415</v>
      </c>
      <c r="D1047" s="3">
        <v>800</v>
      </c>
      <c r="E1047" s="3">
        <v>1330</v>
      </c>
      <c r="F1047" s="3" t="s">
        <v>18</v>
      </c>
      <c r="G1047" s="3">
        <v>4</v>
      </c>
      <c r="H1047" s="3">
        <v>4</v>
      </c>
    </row>
    <row r="1048" spans="1:8" ht="14" x14ac:dyDescent="0.3">
      <c r="A1048" s="3">
        <f>IF(B1047=1, MAX(A$7:A1047)+1, A1047)</f>
        <v>61</v>
      </c>
      <c r="B1048" s="3">
        <v>15</v>
      </c>
      <c r="C1048" s="11" t="s">
        <v>1416</v>
      </c>
      <c r="D1048" s="3">
        <v>800</v>
      </c>
      <c r="E1048" s="3">
        <v>1330</v>
      </c>
      <c r="F1048" s="3" t="s">
        <v>18</v>
      </c>
      <c r="G1048" s="3">
        <v>4</v>
      </c>
      <c r="H1048" s="3">
        <v>4</v>
      </c>
    </row>
    <row r="1049" spans="1:8" ht="14" x14ac:dyDescent="0.3">
      <c r="A1049" s="3">
        <f>IF(B1048=1, MAX(A$7:A1048)+1, A1048)</f>
        <v>61</v>
      </c>
      <c r="B1049" s="3">
        <v>16</v>
      </c>
      <c r="C1049" s="11" t="s">
        <v>1417</v>
      </c>
      <c r="D1049" s="3">
        <v>800</v>
      </c>
      <c r="E1049" s="3">
        <v>1330</v>
      </c>
      <c r="F1049" s="3" t="s">
        <v>18</v>
      </c>
      <c r="G1049" s="3">
        <v>4</v>
      </c>
      <c r="H1049" s="3">
        <v>4</v>
      </c>
    </row>
    <row r="1050" spans="1:8" ht="14" x14ac:dyDescent="0.3">
      <c r="A1050" s="3">
        <f>IF(B1049=1, MAX(A$7:A1049)+1, A1049)</f>
        <v>61</v>
      </c>
      <c r="B1050" s="3">
        <v>17</v>
      </c>
      <c r="C1050" s="11" t="s">
        <v>1418</v>
      </c>
      <c r="D1050" s="3">
        <v>800</v>
      </c>
      <c r="E1050" s="3">
        <v>1330</v>
      </c>
      <c r="F1050" s="3" t="s">
        <v>18</v>
      </c>
      <c r="G1050" s="3">
        <v>4</v>
      </c>
      <c r="H1050" s="3">
        <v>4</v>
      </c>
    </row>
    <row r="1051" spans="1:8" ht="14" x14ac:dyDescent="0.3">
      <c r="A1051" s="3">
        <f>IF(B1050=1, MAX(A$7:A1050)+1, A1050)</f>
        <v>61</v>
      </c>
      <c r="B1051" s="3">
        <v>18</v>
      </c>
      <c r="C1051" s="11" t="s">
        <v>1419</v>
      </c>
      <c r="D1051" s="3">
        <v>-110</v>
      </c>
      <c r="E1051" s="3">
        <v>110</v>
      </c>
      <c r="F1051" s="3" t="s">
        <v>18</v>
      </c>
      <c r="G1051" s="3">
        <v>4</v>
      </c>
      <c r="H1051" s="3">
        <v>4</v>
      </c>
    </row>
    <row r="1052" spans="1:8" ht="14" x14ac:dyDescent="0.3">
      <c r="A1052" s="3">
        <f>IF(B1051=1, MAX(A$7:A1051)+1, A1051)</f>
        <v>61</v>
      </c>
      <c r="B1052" s="3">
        <v>19</v>
      </c>
      <c r="C1052" s="11" t="s">
        <v>1420</v>
      </c>
      <c r="D1052" s="3">
        <v>-110</v>
      </c>
      <c r="E1052" s="3">
        <v>110</v>
      </c>
      <c r="F1052" s="3" t="s">
        <v>18</v>
      </c>
      <c r="G1052" s="3">
        <v>4</v>
      </c>
      <c r="H1052" s="3">
        <v>4</v>
      </c>
    </row>
    <row r="1053" spans="1:8" ht="14" x14ac:dyDescent="0.3">
      <c r="A1053" s="3">
        <f>IF(B1052=1, MAX(A$7:A1052)+1, A1052)</f>
        <v>61</v>
      </c>
      <c r="B1053" s="3">
        <v>20</v>
      </c>
      <c r="C1053" s="11" t="s">
        <v>1421</v>
      </c>
      <c r="D1053" s="3">
        <v>-0.5</v>
      </c>
      <c r="E1053" s="3">
        <v>0.5</v>
      </c>
      <c r="F1053" s="3" t="s">
        <v>18</v>
      </c>
      <c r="G1053" s="3">
        <v>4</v>
      </c>
      <c r="H1053" s="3">
        <v>4</v>
      </c>
    </row>
    <row r="1054" spans="1:8" ht="14" x14ac:dyDescent="0.3">
      <c r="A1054" s="3">
        <f>IF(B1053=1, MAX(A$7:A1053)+1, A1053)</f>
        <v>61</v>
      </c>
      <c r="B1054" s="3">
        <v>21</v>
      </c>
      <c r="C1054" s="11" t="s">
        <v>1422</v>
      </c>
      <c r="D1054" s="3">
        <v>-0.5</v>
      </c>
      <c r="E1054" s="3">
        <v>0.5</v>
      </c>
      <c r="F1054" s="3" t="s">
        <v>18</v>
      </c>
      <c r="G1054" s="3">
        <v>4</v>
      </c>
      <c r="H1054" s="3">
        <v>4</v>
      </c>
    </row>
    <row r="1055" spans="1:8" ht="14" x14ac:dyDescent="0.3">
      <c r="A1055" s="3">
        <f>IF(B1054=1, MAX(A$7:A1054)+1, A1054)</f>
        <v>61</v>
      </c>
      <c r="B1055" s="3">
        <v>22</v>
      </c>
      <c r="C1055" s="11" t="s">
        <v>1423</v>
      </c>
      <c r="D1055" s="3">
        <v>-0.5</v>
      </c>
      <c r="E1055" s="3">
        <v>0.5</v>
      </c>
      <c r="F1055" s="3" t="s">
        <v>18</v>
      </c>
      <c r="G1055" s="3">
        <v>4</v>
      </c>
      <c r="H1055" s="3">
        <v>4</v>
      </c>
    </row>
    <row r="1056" spans="1:8" ht="14" x14ac:dyDescent="0.3">
      <c r="A1056" s="3">
        <f>IF(B1055=1, MAX(A$7:A1055)+1, A1055)</f>
        <v>61</v>
      </c>
      <c r="B1056" s="3">
        <v>23</v>
      </c>
      <c r="C1056" s="11" t="s">
        <v>1424</v>
      </c>
      <c r="D1056" s="3">
        <v>-0.5</v>
      </c>
      <c r="E1056" s="3">
        <v>0.5</v>
      </c>
      <c r="F1056" s="3" t="s">
        <v>18</v>
      </c>
      <c r="G1056" s="3">
        <v>4</v>
      </c>
      <c r="H1056" s="3">
        <v>4</v>
      </c>
    </row>
    <row r="1057" spans="1:8" ht="14" x14ac:dyDescent="0.3">
      <c r="A1057" s="3">
        <f>IF(B1056=1, MAX(A$7:A1056)+1, A1056)</f>
        <v>61</v>
      </c>
      <c r="B1057" s="3">
        <v>24</v>
      </c>
      <c r="C1057" s="11" t="s">
        <v>1425</v>
      </c>
      <c r="D1057" s="3">
        <v>-0.5</v>
      </c>
      <c r="E1057" s="3">
        <v>0.5</v>
      </c>
      <c r="F1057" s="3" t="s">
        <v>18</v>
      </c>
      <c r="G1057" s="3">
        <v>4</v>
      </c>
      <c r="H1057" s="3">
        <v>4</v>
      </c>
    </row>
    <row r="1058" spans="1:8" ht="14" x14ac:dyDescent="0.3">
      <c r="A1058" s="3">
        <f>IF(B1057=1, MAX(A$7:A1057)+1, A1057)</f>
        <v>61</v>
      </c>
      <c r="B1058" s="3">
        <v>25</v>
      </c>
      <c r="C1058" s="11" t="s">
        <v>1426</v>
      </c>
      <c r="D1058" s="3">
        <v>-0.5</v>
      </c>
      <c r="E1058" s="3">
        <v>0.5</v>
      </c>
      <c r="F1058" s="3" t="s">
        <v>18</v>
      </c>
      <c r="G1058" s="3">
        <v>4</v>
      </c>
      <c r="H1058" s="3">
        <v>4</v>
      </c>
    </row>
    <row r="1059" spans="1:8" ht="14" x14ac:dyDescent="0.3">
      <c r="A1059" s="3">
        <f>IF(B1058=1, MAX(A$7:A1058)+1, A1058)</f>
        <v>61</v>
      </c>
      <c r="B1059" s="3">
        <v>26</v>
      </c>
      <c r="C1059" s="11" t="s">
        <v>1427</v>
      </c>
      <c r="D1059" s="3">
        <v>-1</v>
      </c>
      <c r="E1059" s="3">
        <v>1</v>
      </c>
      <c r="F1059" s="3" t="s">
        <v>18</v>
      </c>
      <c r="G1059" s="3">
        <v>4</v>
      </c>
      <c r="H1059" s="3">
        <v>4</v>
      </c>
    </row>
    <row r="1060" spans="1:8" ht="14" x14ac:dyDescent="0.3">
      <c r="A1060" s="3">
        <f>IF(B1059=1, MAX(A$7:A1059)+1, A1059)</f>
        <v>61</v>
      </c>
      <c r="B1060" s="3">
        <v>27</v>
      </c>
      <c r="C1060" s="11" t="s">
        <v>1428</v>
      </c>
      <c r="D1060" s="3">
        <v>-1</v>
      </c>
      <c r="E1060" s="3">
        <v>1</v>
      </c>
      <c r="F1060" s="3" t="s">
        <v>18</v>
      </c>
      <c r="G1060" s="3">
        <v>4</v>
      </c>
      <c r="H1060" s="3">
        <v>4</v>
      </c>
    </row>
    <row r="1061" spans="1:8" ht="14" x14ac:dyDescent="0.3">
      <c r="A1061" s="3">
        <f>IF(B1060=1, MAX(A$7:A1060)+1, A1060)</f>
        <v>61</v>
      </c>
      <c r="B1061" s="3">
        <v>28</v>
      </c>
      <c r="C1061" s="11" t="s">
        <v>1429</v>
      </c>
      <c r="D1061" s="3">
        <v>-1</v>
      </c>
      <c r="E1061" s="3">
        <v>1</v>
      </c>
      <c r="F1061" s="3" t="s">
        <v>18</v>
      </c>
      <c r="G1061" s="3">
        <v>4</v>
      </c>
      <c r="H1061" s="3">
        <v>4</v>
      </c>
    </row>
    <row r="1062" spans="1:8" ht="14" x14ac:dyDescent="0.3">
      <c r="A1062" s="3">
        <f>IF(B1061=1, MAX(A$7:A1061)+1, A1061)</f>
        <v>61</v>
      </c>
      <c r="B1062" s="3">
        <v>29</v>
      </c>
      <c r="C1062" s="11" t="s">
        <v>1430</v>
      </c>
      <c r="D1062" s="3">
        <v>-1</v>
      </c>
      <c r="E1062" s="3">
        <v>1</v>
      </c>
      <c r="F1062" s="3" t="s">
        <v>18</v>
      </c>
      <c r="G1062" s="3">
        <v>4</v>
      </c>
      <c r="H1062" s="3">
        <v>4</v>
      </c>
    </row>
    <row r="1063" spans="1:8" ht="14" x14ac:dyDescent="0.3">
      <c r="A1063" s="3">
        <f>IF(B1062=1, MAX(A$7:A1062)+1, A1062)</f>
        <v>61</v>
      </c>
      <c r="B1063" s="3">
        <v>30</v>
      </c>
      <c r="C1063" s="11" t="s">
        <v>1431</v>
      </c>
      <c r="D1063" s="3">
        <v>-2</v>
      </c>
      <c r="E1063" s="3">
        <v>2</v>
      </c>
      <c r="F1063" s="3" t="s">
        <v>18</v>
      </c>
      <c r="G1063" s="3">
        <v>4</v>
      </c>
      <c r="H1063" s="3">
        <v>4</v>
      </c>
    </row>
    <row r="1064" spans="1:8" ht="14" x14ac:dyDescent="0.3">
      <c r="A1064" s="3">
        <f>IF(B1063=1, MAX(A$7:A1063)+1, A1063)</f>
        <v>61</v>
      </c>
      <c r="B1064" s="3">
        <v>31</v>
      </c>
      <c r="C1064" s="11" t="s">
        <v>1432</v>
      </c>
      <c r="D1064" s="3">
        <v>-5</v>
      </c>
      <c r="E1064" s="3">
        <v>5</v>
      </c>
      <c r="F1064" s="3" t="s">
        <v>18</v>
      </c>
      <c r="G1064" s="3">
        <v>4</v>
      </c>
      <c r="H1064" s="3">
        <v>4</v>
      </c>
    </row>
    <row r="1065" spans="1:8" ht="14" x14ac:dyDescent="0.3">
      <c r="A1065" s="3">
        <f>IF(B1064=1, MAX(A$7:A1064)+1, A1064)</f>
        <v>61</v>
      </c>
      <c r="B1065" s="3">
        <v>32</v>
      </c>
      <c r="C1065" s="11" t="s">
        <v>1433</v>
      </c>
      <c r="D1065" s="3">
        <v>-5</v>
      </c>
      <c r="E1065" s="3">
        <v>5</v>
      </c>
      <c r="F1065" s="3" t="s">
        <v>18</v>
      </c>
      <c r="G1065" s="3">
        <v>4</v>
      </c>
      <c r="H1065" s="3">
        <v>4</v>
      </c>
    </row>
    <row r="1066" spans="1:8" ht="14" x14ac:dyDescent="0.3">
      <c r="A1066" s="3">
        <f>IF(B1065=1, MAX(A$7:A1065)+1, A1065)</f>
        <v>61</v>
      </c>
      <c r="B1066" s="3">
        <v>33</v>
      </c>
      <c r="C1066" s="11" t="s">
        <v>1434</v>
      </c>
      <c r="D1066" s="3">
        <v>-5</v>
      </c>
      <c r="E1066" s="3">
        <v>5</v>
      </c>
      <c r="F1066" s="3" t="s">
        <v>18</v>
      </c>
      <c r="G1066" s="3">
        <v>4</v>
      </c>
      <c r="H1066" s="3">
        <v>4</v>
      </c>
    </row>
    <row r="1067" spans="1:8" ht="14" x14ac:dyDescent="0.3">
      <c r="A1067" s="3">
        <f>IF(B1066=1, MAX(A$7:A1066)+1, A1066)</f>
        <v>61</v>
      </c>
      <c r="B1067" s="3">
        <v>34</v>
      </c>
      <c r="C1067" s="11" t="s">
        <v>1435</v>
      </c>
      <c r="D1067" s="3">
        <v>-5</v>
      </c>
      <c r="E1067" s="3">
        <v>5</v>
      </c>
      <c r="F1067" s="3" t="s">
        <v>18</v>
      </c>
      <c r="G1067" s="3">
        <v>4</v>
      </c>
      <c r="H1067" s="3">
        <v>4</v>
      </c>
    </row>
    <row r="1068" spans="1:8" ht="14" x14ac:dyDescent="0.3">
      <c r="A1068" s="3">
        <f>IF(B1067=1, MAX(A$7:A1067)+1, A1067)</f>
        <v>61</v>
      </c>
      <c r="B1068" s="3">
        <v>35</v>
      </c>
      <c r="C1068" s="11" t="s">
        <v>1436</v>
      </c>
      <c r="D1068" s="3">
        <v>2</v>
      </c>
      <c r="E1068" s="3">
        <v>15</v>
      </c>
      <c r="F1068" s="3" t="s">
        <v>18</v>
      </c>
      <c r="G1068" s="3">
        <v>4</v>
      </c>
      <c r="H1068" s="3">
        <v>4</v>
      </c>
    </row>
    <row r="1069" spans="1:8" ht="14" x14ac:dyDescent="0.3">
      <c r="A1069" s="3">
        <f>IF(B1068=1, MAX(A$7:A1068)+1, A1068)</f>
        <v>61</v>
      </c>
      <c r="B1069" s="3">
        <v>36</v>
      </c>
      <c r="C1069" s="11" t="s">
        <v>1437</v>
      </c>
      <c r="D1069" s="3">
        <v>2</v>
      </c>
      <c r="E1069" s="3">
        <v>15</v>
      </c>
      <c r="F1069" s="3" t="s">
        <v>18</v>
      </c>
      <c r="G1069" s="3">
        <v>4</v>
      </c>
      <c r="H1069" s="3">
        <v>4</v>
      </c>
    </row>
    <row r="1070" spans="1:8" ht="14" x14ac:dyDescent="0.3">
      <c r="A1070" s="3">
        <f>IF(B1069=1, MAX(A$7:A1069)+1, A1069)</f>
        <v>61</v>
      </c>
      <c r="B1070" s="3">
        <v>37</v>
      </c>
      <c r="C1070" s="11" t="s">
        <v>1438</v>
      </c>
      <c r="D1070" s="3">
        <v>2</v>
      </c>
      <c r="E1070" s="3">
        <v>15</v>
      </c>
      <c r="F1070" s="3" t="s">
        <v>18</v>
      </c>
      <c r="G1070" s="3">
        <v>4</v>
      </c>
      <c r="H1070" s="3">
        <v>4</v>
      </c>
    </row>
    <row r="1071" spans="1:8" ht="14" x14ac:dyDescent="0.3">
      <c r="A1071" s="3">
        <f>IF(B1070=1, MAX(A$7:A1070)+1, A1070)</f>
        <v>61</v>
      </c>
      <c r="B1071" s="3">
        <v>38</v>
      </c>
      <c r="C1071" s="11" t="s">
        <v>1439</v>
      </c>
      <c r="D1071" s="3">
        <v>2</v>
      </c>
      <c r="E1071" s="3">
        <v>15</v>
      </c>
      <c r="F1071" s="3" t="s">
        <v>18</v>
      </c>
      <c r="G1071" s="3">
        <v>4</v>
      </c>
      <c r="H1071" s="3">
        <v>4</v>
      </c>
    </row>
    <row r="1072" spans="1:8" ht="14" x14ac:dyDescent="0.3">
      <c r="A1072" s="3">
        <f>IF(B1071=1, MAX(A$7:A1071)+1, A1071)</f>
        <v>61</v>
      </c>
      <c r="B1072" s="3">
        <v>39</v>
      </c>
      <c r="C1072" s="11" t="s">
        <v>1440</v>
      </c>
      <c r="D1072" s="3">
        <v>0.2</v>
      </c>
      <c r="E1072" s="3">
        <v>15</v>
      </c>
      <c r="F1072" s="3" t="s">
        <v>18</v>
      </c>
      <c r="G1072" s="3">
        <v>4</v>
      </c>
      <c r="H1072" s="3">
        <v>4</v>
      </c>
    </row>
    <row r="1073" spans="1:8" ht="14" x14ac:dyDescent="0.3">
      <c r="A1073" s="3">
        <f>IF(B1072=1, MAX(A$7:A1072)+1, A1072)</f>
        <v>61</v>
      </c>
      <c r="B1073" s="3">
        <v>40</v>
      </c>
      <c r="C1073" s="11" t="s">
        <v>1441</v>
      </c>
      <c r="D1073" s="3">
        <v>0.2</v>
      </c>
      <c r="E1073" s="3">
        <v>15</v>
      </c>
      <c r="F1073" s="3" t="s">
        <v>18</v>
      </c>
      <c r="G1073" s="3">
        <v>4</v>
      </c>
      <c r="H1073" s="3">
        <v>4</v>
      </c>
    </row>
    <row r="1074" spans="1:8" ht="14" x14ac:dyDescent="0.3">
      <c r="A1074" s="3">
        <f>IF(B1073=1, MAX(A$7:A1073)+1, A1073)</f>
        <v>61</v>
      </c>
      <c r="B1074" s="3">
        <v>41</v>
      </c>
      <c r="C1074" s="11" t="s">
        <v>1442</v>
      </c>
      <c r="D1074" s="3">
        <v>0.2</v>
      </c>
      <c r="E1074" s="3">
        <v>15</v>
      </c>
      <c r="F1074" s="3" t="s">
        <v>18</v>
      </c>
      <c r="G1074" s="3">
        <v>4</v>
      </c>
      <c r="H1074" s="3">
        <v>4</v>
      </c>
    </row>
    <row r="1075" spans="1:8" ht="14" x14ac:dyDescent="0.3">
      <c r="A1075" s="3">
        <f>IF(B1074=1, MAX(A$7:A1074)+1, A1074)</f>
        <v>61</v>
      </c>
      <c r="B1075" s="3">
        <v>42</v>
      </c>
      <c r="C1075" s="11" t="s">
        <v>1443</v>
      </c>
      <c r="D1075" s="3">
        <v>0.2</v>
      </c>
      <c r="E1075" s="3">
        <v>15</v>
      </c>
      <c r="F1075" s="3" t="s">
        <v>18</v>
      </c>
      <c r="G1075" s="3">
        <v>4</v>
      </c>
      <c r="H1075" s="3">
        <v>4</v>
      </c>
    </row>
    <row r="1076" spans="1:8" ht="14" x14ac:dyDescent="0.3">
      <c r="A1076" s="3">
        <f>IF(B1075=1, MAX(A$7:A1075)+1, A1075)</f>
        <v>61</v>
      </c>
      <c r="B1076" s="3">
        <v>43</v>
      </c>
      <c r="C1076" s="11" t="s">
        <v>1444</v>
      </c>
      <c r="D1076" s="3">
        <v>0.1</v>
      </c>
      <c r="E1076" s="3">
        <v>5</v>
      </c>
      <c r="F1076" s="3" t="s">
        <v>18</v>
      </c>
      <c r="G1076" s="3">
        <v>4</v>
      </c>
      <c r="H1076" s="3">
        <v>4</v>
      </c>
    </row>
    <row r="1077" spans="1:8" ht="14" x14ac:dyDescent="0.3">
      <c r="A1077" s="3">
        <f>IF(B1076=1, MAX(A$7:A1076)+1, A1076)</f>
        <v>61</v>
      </c>
      <c r="B1077" s="3">
        <v>44</v>
      </c>
      <c r="C1077" s="11" t="s">
        <v>1445</v>
      </c>
      <c r="D1077" s="3">
        <v>10</v>
      </c>
      <c r="E1077" s="3">
        <v>25</v>
      </c>
      <c r="F1077" s="3" t="s">
        <v>18</v>
      </c>
      <c r="G1077" s="3">
        <v>4</v>
      </c>
      <c r="H1077" s="3">
        <v>4</v>
      </c>
    </row>
    <row r="1078" spans="1:8" ht="14" x14ac:dyDescent="0.3">
      <c r="A1078" s="3">
        <f>IF(B1077=1, MAX(A$7:A1077)+1, A1077)</f>
        <v>61</v>
      </c>
      <c r="B1078" s="3">
        <v>45</v>
      </c>
      <c r="C1078" s="11" t="s">
        <v>1446</v>
      </c>
      <c r="D1078" s="3">
        <v>0.1</v>
      </c>
      <c r="E1078" s="3">
        <v>5</v>
      </c>
      <c r="F1078" s="3" t="s">
        <v>18</v>
      </c>
      <c r="G1078" s="3">
        <v>4</v>
      </c>
      <c r="H1078" s="3">
        <v>4</v>
      </c>
    </row>
    <row r="1079" spans="1:8" ht="14" x14ac:dyDescent="0.3">
      <c r="A1079" s="3">
        <f>IF(B1078=1, MAX(A$7:A1078)+1, A1078)</f>
        <v>61</v>
      </c>
      <c r="B1079" s="3">
        <v>46</v>
      </c>
      <c r="C1079" s="11" t="s">
        <v>1447</v>
      </c>
      <c r="D1079" s="3">
        <v>0.1</v>
      </c>
      <c r="E1079" s="3">
        <v>5</v>
      </c>
      <c r="F1079" s="3" t="s">
        <v>18</v>
      </c>
      <c r="G1079" s="3">
        <v>4</v>
      </c>
      <c r="H1079" s="3">
        <v>4</v>
      </c>
    </row>
    <row r="1080" spans="1:8" ht="14" x14ac:dyDescent="0.3">
      <c r="A1080" s="3">
        <f>IF(B1079=1, MAX(A$7:A1079)+1, A1079)</f>
        <v>61</v>
      </c>
      <c r="B1080" s="3">
        <v>47</v>
      </c>
      <c r="C1080" s="11" t="s">
        <v>1448</v>
      </c>
      <c r="D1080" s="3">
        <v>100</v>
      </c>
      <c r="E1080" s="3">
        <v>180</v>
      </c>
      <c r="F1080" s="3" t="s">
        <v>18</v>
      </c>
      <c r="G1080" s="3">
        <v>4</v>
      </c>
      <c r="H1080" s="3">
        <v>4</v>
      </c>
    </row>
    <row r="1081" spans="1:8" ht="14" x14ac:dyDescent="0.3">
      <c r="A1081" s="3">
        <f>IF(B1080=1, MAX(A$7:A1080)+1, A1080)</f>
        <v>61</v>
      </c>
      <c r="B1081" s="3">
        <v>48</v>
      </c>
      <c r="C1081" s="11" t="s">
        <v>1449</v>
      </c>
      <c r="D1081" s="3">
        <v>200</v>
      </c>
      <c r="E1081" s="3">
        <v>1200</v>
      </c>
      <c r="F1081" s="3" t="s">
        <v>18</v>
      </c>
      <c r="G1081" s="3">
        <v>4</v>
      </c>
      <c r="H1081" s="3">
        <v>4</v>
      </c>
    </row>
    <row r="1082" spans="1:8" ht="14" x14ac:dyDescent="0.3">
      <c r="A1082" s="3">
        <f>IF(B1081=1, MAX(A$7:A1081)+1, A1081)</f>
        <v>61</v>
      </c>
      <c r="B1082" s="3">
        <v>49</v>
      </c>
      <c r="C1082" s="11" t="s">
        <v>1450</v>
      </c>
      <c r="D1082" s="3">
        <v>400</v>
      </c>
      <c r="E1082" s="3">
        <v>800</v>
      </c>
      <c r="F1082" s="3" t="s">
        <v>18</v>
      </c>
      <c r="G1082" s="3">
        <v>4</v>
      </c>
      <c r="H1082" s="3">
        <v>4</v>
      </c>
    </row>
    <row r="1083" spans="1:8" ht="14" x14ac:dyDescent="0.3">
      <c r="A1083" s="3">
        <f>IF(B1082=1, MAX(A$7:A1082)+1, A1082)</f>
        <v>61</v>
      </c>
      <c r="B1083" s="3">
        <v>50</v>
      </c>
      <c r="C1083" s="11" t="s">
        <v>1451</v>
      </c>
      <c r="D1083" s="3">
        <v>-1</v>
      </c>
      <c r="E1083" s="3">
        <v>1</v>
      </c>
      <c r="F1083" s="3" t="s">
        <v>18</v>
      </c>
      <c r="G1083" s="3">
        <v>4</v>
      </c>
      <c r="H1083" s="3">
        <v>4</v>
      </c>
    </row>
    <row r="1084" spans="1:8" ht="14" x14ac:dyDescent="0.3">
      <c r="A1084" s="3">
        <f>IF(B1083=1, MAX(A$7:A1083)+1, A1083)</f>
        <v>61</v>
      </c>
      <c r="B1084" s="3">
        <v>51</v>
      </c>
      <c r="C1084" s="11" t="s">
        <v>1452</v>
      </c>
      <c r="D1084" s="3">
        <v>1</v>
      </c>
      <c r="E1084" s="3">
        <v>6</v>
      </c>
      <c r="F1084" s="3" t="s">
        <v>18</v>
      </c>
      <c r="G1084" s="3">
        <v>4</v>
      </c>
      <c r="H1084" s="3">
        <v>4</v>
      </c>
    </row>
    <row r="1085" spans="1:8" ht="14" x14ac:dyDescent="0.3">
      <c r="A1085" s="3">
        <f>IF(B1084=1, MAX(A$7:A1084)+1, A1084)</f>
        <v>61</v>
      </c>
      <c r="B1085" s="3">
        <v>52</v>
      </c>
      <c r="C1085" s="11" t="s">
        <v>1453</v>
      </c>
      <c r="D1085" s="3">
        <v>1</v>
      </c>
      <c r="E1085" s="3">
        <v>6</v>
      </c>
      <c r="F1085" s="3" t="s">
        <v>18</v>
      </c>
      <c r="G1085" s="3">
        <v>4</v>
      </c>
      <c r="H1085" s="3">
        <v>4</v>
      </c>
    </row>
    <row r="1086" spans="1:8" ht="14" x14ac:dyDescent="0.3">
      <c r="A1086" s="3">
        <f>IF(B1085=1, MAX(A$7:A1085)+1, A1085)</f>
        <v>61</v>
      </c>
      <c r="B1086" s="3">
        <v>53</v>
      </c>
      <c r="C1086" s="11" t="s">
        <v>1454</v>
      </c>
      <c r="D1086" s="3">
        <v>1700</v>
      </c>
      <c r="E1086" s="3">
        <v>2700</v>
      </c>
      <c r="F1086" s="3" t="s">
        <v>18</v>
      </c>
      <c r="G1086" s="3">
        <v>4</v>
      </c>
      <c r="H1086" s="3">
        <v>4</v>
      </c>
    </row>
    <row r="1087" spans="1:8" ht="14" x14ac:dyDescent="0.3">
      <c r="A1087" s="3">
        <f>IF(B1086=1, MAX(A$7:A1086)+1, A1086)</f>
        <v>61</v>
      </c>
      <c r="B1087" s="3">
        <v>54</v>
      </c>
      <c r="C1087" s="11" t="s">
        <v>1455</v>
      </c>
      <c r="D1087" s="3">
        <v>1700</v>
      </c>
      <c r="E1087" s="3">
        <v>2700</v>
      </c>
      <c r="F1087" s="3" t="s">
        <v>18</v>
      </c>
      <c r="G1087" s="3">
        <v>4</v>
      </c>
      <c r="H1087" s="3">
        <v>4</v>
      </c>
    </row>
    <row r="1088" spans="1:8" ht="14" x14ac:dyDescent="0.3">
      <c r="A1088" s="3">
        <f>IF(B1087=1, MAX(A$7:A1087)+1, A1087)</f>
        <v>61</v>
      </c>
      <c r="B1088" s="3">
        <v>55</v>
      </c>
      <c r="C1088" s="11" t="s">
        <v>1456</v>
      </c>
      <c r="D1088" s="3">
        <v>250</v>
      </c>
      <c r="E1088" s="3">
        <v>500</v>
      </c>
      <c r="F1088" s="3" t="s">
        <v>18</v>
      </c>
      <c r="G1088" s="3">
        <v>4</v>
      </c>
      <c r="H1088" s="3">
        <v>4</v>
      </c>
    </row>
    <row r="1089" spans="1:8" ht="14" x14ac:dyDescent="0.3">
      <c r="A1089" s="3">
        <f>IF(B1088=1, MAX(A$7:A1088)+1, A1088)</f>
        <v>61</v>
      </c>
      <c r="B1089" s="3">
        <v>56</v>
      </c>
      <c r="C1089" s="11" t="s">
        <v>1457</v>
      </c>
      <c r="D1089" s="3">
        <v>250</v>
      </c>
      <c r="E1089" s="3">
        <v>500</v>
      </c>
      <c r="F1089" s="3" t="s">
        <v>18</v>
      </c>
      <c r="G1089" s="3">
        <v>4</v>
      </c>
      <c r="H1089" s="3">
        <v>4</v>
      </c>
    </row>
    <row r="1090" spans="1:8" ht="14" x14ac:dyDescent="0.3">
      <c r="A1090" s="3">
        <f>IF(B1089=1, MAX(A$7:A1089)+1, A1089)</f>
        <v>61</v>
      </c>
      <c r="B1090" s="3">
        <v>57</v>
      </c>
      <c r="C1090" s="11" t="s">
        <v>1458</v>
      </c>
      <c r="D1090" s="3">
        <v>300</v>
      </c>
      <c r="E1090" s="3">
        <v>600</v>
      </c>
      <c r="F1090" s="3" t="s">
        <v>18</v>
      </c>
      <c r="G1090" s="3">
        <v>4</v>
      </c>
      <c r="H1090" s="3">
        <v>4</v>
      </c>
    </row>
    <row r="1091" spans="1:8" ht="14" x14ac:dyDescent="0.3">
      <c r="A1091" s="3">
        <f>IF(B1090=1, MAX(A$7:A1090)+1, A1090)</f>
        <v>61</v>
      </c>
      <c r="B1091" s="3">
        <v>58</v>
      </c>
      <c r="C1091" s="11" t="s">
        <v>1459</v>
      </c>
      <c r="D1091" s="3">
        <v>300</v>
      </c>
      <c r="E1091" s="3">
        <v>600</v>
      </c>
      <c r="F1091" s="3" t="s">
        <v>18</v>
      </c>
      <c r="G1091" s="3">
        <v>4</v>
      </c>
      <c r="H1091" s="3">
        <v>4</v>
      </c>
    </row>
    <row r="1092" spans="1:8" ht="14" x14ac:dyDescent="0.3">
      <c r="A1092" s="3">
        <f>IF(B1091=1, MAX(A$7:A1091)+1, A1091)</f>
        <v>61</v>
      </c>
      <c r="B1092" s="3">
        <v>59</v>
      </c>
      <c r="C1092" s="11" t="s">
        <v>1460</v>
      </c>
      <c r="D1092" s="3">
        <v>300</v>
      </c>
      <c r="E1092" s="3">
        <v>600</v>
      </c>
      <c r="F1092" s="3" t="s">
        <v>18</v>
      </c>
      <c r="G1092" s="3">
        <v>4</v>
      </c>
      <c r="H1092" s="3">
        <v>4</v>
      </c>
    </row>
    <row r="1093" spans="1:8" ht="14" x14ac:dyDescent="0.3">
      <c r="A1093" s="3">
        <f>IF(B1092=1, MAX(A$7:A1092)+1, A1092)</f>
        <v>61</v>
      </c>
      <c r="B1093" s="3">
        <v>60</v>
      </c>
      <c r="C1093" s="11" t="s">
        <v>1461</v>
      </c>
      <c r="D1093" s="3">
        <v>-4</v>
      </c>
      <c r="E1093" s="3">
        <v>4</v>
      </c>
      <c r="F1093" s="3" t="s">
        <v>18</v>
      </c>
      <c r="G1093" s="3">
        <v>4</v>
      </c>
      <c r="H1093" s="3">
        <v>4</v>
      </c>
    </row>
    <row r="1094" spans="1:8" ht="14" x14ac:dyDescent="0.3">
      <c r="A1094" s="3">
        <f>IF(B1093=1, MAX(A$7:A1093)+1, A1093)</f>
        <v>61</v>
      </c>
      <c r="B1094" s="3">
        <v>61</v>
      </c>
      <c r="C1094" s="11" t="s">
        <v>1462</v>
      </c>
      <c r="D1094" s="3">
        <v>-4</v>
      </c>
      <c r="E1094" s="3">
        <v>4</v>
      </c>
      <c r="F1094" s="3" t="s">
        <v>18</v>
      </c>
      <c r="G1094" s="3">
        <v>4</v>
      </c>
      <c r="H1094" s="3">
        <v>4</v>
      </c>
    </row>
    <row r="1095" spans="1:8" ht="14" x14ac:dyDescent="0.3">
      <c r="A1095" s="3">
        <f>IF(B1094=1, MAX(A$7:A1094)+1, A1094)</f>
        <v>61</v>
      </c>
      <c r="B1095" s="3">
        <v>62</v>
      </c>
      <c r="C1095" s="11" t="s">
        <v>1463</v>
      </c>
      <c r="D1095" s="3">
        <v>-4</v>
      </c>
      <c r="E1095" s="3">
        <v>4</v>
      </c>
      <c r="F1095" s="3" t="s">
        <v>18</v>
      </c>
      <c r="G1095" s="3">
        <v>4</v>
      </c>
      <c r="H1095" s="3">
        <v>4</v>
      </c>
    </row>
    <row r="1096" spans="1:8" ht="14" x14ac:dyDescent="0.3">
      <c r="A1096" s="3">
        <f>IF(B1095=1, MAX(A$7:A1095)+1, A1095)</f>
        <v>61</v>
      </c>
      <c r="B1096" s="3">
        <v>63</v>
      </c>
      <c r="C1096" s="11" t="s">
        <v>1464</v>
      </c>
      <c r="D1096" s="3">
        <v>-4</v>
      </c>
      <c r="E1096" s="3">
        <v>4</v>
      </c>
      <c r="F1096" s="3" t="s">
        <v>18</v>
      </c>
      <c r="G1096" s="3">
        <v>4</v>
      </c>
      <c r="H1096" s="3">
        <v>4</v>
      </c>
    </row>
    <row r="1097" spans="1:8" ht="14" x14ac:dyDescent="0.3">
      <c r="A1097" s="3">
        <f>IF(B1096=1, MAX(A$7:A1096)+1, A1096)</f>
        <v>61</v>
      </c>
      <c r="B1097" s="3">
        <v>64</v>
      </c>
      <c r="C1097" s="11" t="s">
        <v>1465</v>
      </c>
      <c r="D1097" s="3">
        <v>-4</v>
      </c>
      <c r="E1097" s="3">
        <v>4</v>
      </c>
      <c r="F1097" s="3" t="s">
        <v>18</v>
      </c>
      <c r="G1097" s="3">
        <v>4</v>
      </c>
      <c r="H1097" s="3">
        <v>4</v>
      </c>
    </row>
    <row r="1098" spans="1:8" ht="14" x14ac:dyDescent="0.3">
      <c r="A1098" s="3">
        <f>IF(B1097=1, MAX(A$7:A1097)+1, A1097)</f>
        <v>61</v>
      </c>
      <c r="B1098" s="3">
        <v>65</v>
      </c>
      <c r="C1098" s="11" t="s">
        <v>1466</v>
      </c>
      <c r="D1098" s="3">
        <v>-4</v>
      </c>
      <c r="E1098" s="3">
        <v>4</v>
      </c>
      <c r="F1098" s="3" t="s">
        <v>18</v>
      </c>
      <c r="G1098" s="3">
        <v>4</v>
      </c>
      <c r="H1098" s="3">
        <v>4</v>
      </c>
    </row>
    <row r="1099" spans="1:8" ht="14" x14ac:dyDescent="0.3">
      <c r="A1099" s="3">
        <f>IF(B1098=1, MAX(A$7:A1098)+1, A1098)</f>
        <v>61</v>
      </c>
      <c r="B1099" s="3">
        <v>66</v>
      </c>
      <c r="C1099" s="11" t="s">
        <v>1467</v>
      </c>
      <c r="D1099" s="3">
        <v>-4</v>
      </c>
      <c r="E1099" s="3">
        <v>4</v>
      </c>
      <c r="F1099" s="3" t="s">
        <v>18</v>
      </c>
      <c r="G1099" s="3">
        <v>4</v>
      </c>
      <c r="H1099" s="3">
        <v>4</v>
      </c>
    </row>
    <row r="1100" spans="1:8" ht="14" x14ac:dyDescent="0.3">
      <c r="A1100" s="3">
        <f>IF(B1099=1, MAX(A$7:A1099)+1, A1099)</f>
        <v>61</v>
      </c>
      <c r="B1100" s="3">
        <v>67</v>
      </c>
      <c r="C1100" s="11" t="s">
        <v>1468</v>
      </c>
      <c r="D1100" s="3">
        <v>-4</v>
      </c>
      <c r="E1100" s="3">
        <v>4</v>
      </c>
      <c r="F1100" s="3" t="s">
        <v>18</v>
      </c>
      <c r="G1100" s="3">
        <v>4</v>
      </c>
      <c r="H1100" s="3">
        <v>4</v>
      </c>
    </row>
    <row r="1101" spans="1:8" ht="14" x14ac:dyDescent="0.3">
      <c r="A1101" s="3">
        <f>IF(B1100=1, MAX(A$7:A1100)+1, A1100)</f>
        <v>61</v>
      </c>
      <c r="B1101" s="3">
        <v>68</v>
      </c>
      <c r="C1101" s="11" t="s">
        <v>1469</v>
      </c>
      <c r="D1101" s="3">
        <v>-4</v>
      </c>
      <c r="E1101" s="3">
        <v>4</v>
      </c>
      <c r="F1101" s="3" t="s">
        <v>18</v>
      </c>
      <c r="G1101" s="3">
        <v>4</v>
      </c>
      <c r="H1101" s="3">
        <v>4</v>
      </c>
    </row>
    <row r="1102" spans="1:8" ht="14" x14ac:dyDescent="0.3">
      <c r="A1102" s="3">
        <f>IF(B1101=1, MAX(A$7:A1101)+1, A1101)</f>
        <v>61</v>
      </c>
      <c r="B1102" s="3">
        <v>69</v>
      </c>
      <c r="C1102" s="11" t="s">
        <v>1470</v>
      </c>
      <c r="D1102" s="3">
        <v>-4</v>
      </c>
      <c r="E1102" s="3">
        <v>4</v>
      </c>
      <c r="F1102" s="3" t="s">
        <v>18</v>
      </c>
      <c r="G1102" s="3">
        <v>4</v>
      </c>
      <c r="H1102" s="3">
        <v>4</v>
      </c>
    </row>
    <row r="1103" spans="1:8" ht="14" x14ac:dyDescent="0.3">
      <c r="A1103" s="3">
        <f>IF(B1102=1, MAX(A$7:A1102)+1, A1102)</f>
        <v>61</v>
      </c>
      <c r="B1103" s="3">
        <v>70</v>
      </c>
      <c r="C1103" s="11" t="s">
        <v>1471</v>
      </c>
      <c r="D1103" s="3">
        <v>-2</v>
      </c>
      <c r="E1103" s="3">
        <v>2</v>
      </c>
      <c r="F1103" s="3" t="s">
        <v>18</v>
      </c>
      <c r="G1103" s="3">
        <v>4</v>
      </c>
      <c r="H1103" s="3">
        <v>4</v>
      </c>
    </row>
    <row r="1104" spans="1:8" ht="14" x14ac:dyDescent="0.3">
      <c r="A1104" s="3">
        <f>IF(B1103=1, MAX(A$7:A1103)+1, A1103)</f>
        <v>61</v>
      </c>
      <c r="B1104" s="3">
        <v>71</v>
      </c>
      <c r="C1104" s="11" t="s">
        <v>1472</v>
      </c>
      <c r="D1104" s="3">
        <v>-2</v>
      </c>
      <c r="E1104" s="3">
        <v>2</v>
      </c>
      <c r="F1104" s="3" t="s">
        <v>18</v>
      </c>
      <c r="G1104" s="3">
        <v>4</v>
      </c>
      <c r="H1104" s="3">
        <v>4</v>
      </c>
    </row>
    <row r="1105" spans="1:8" ht="14" x14ac:dyDescent="0.3">
      <c r="A1105" s="3">
        <f>IF(B1104=1, MAX(A$7:A1104)+1, A1104)</f>
        <v>61</v>
      </c>
      <c r="B1105" s="3">
        <v>72</v>
      </c>
      <c r="C1105" s="11" t="s">
        <v>1473</v>
      </c>
      <c r="D1105" s="3">
        <v>-6</v>
      </c>
      <c r="E1105" s="3">
        <v>6</v>
      </c>
      <c r="F1105" s="3" t="s">
        <v>18</v>
      </c>
      <c r="G1105" s="3">
        <v>4</v>
      </c>
      <c r="H1105" s="3">
        <v>4</v>
      </c>
    </row>
    <row r="1106" spans="1:8" ht="14" x14ac:dyDescent="0.3">
      <c r="A1106" s="3">
        <f>IF(B1105=1, MAX(A$7:A1105)+1, A1105)</f>
        <v>61</v>
      </c>
      <c r="B1106" s="3">
        <v>73</v>
      </c>
      <c r="C1106" s="11" t="s">
        <v>1474</v>
      </c>
      <c r="D1106" s="3"/>
      <c r="E1106" s="3"/>
      <c r="F1106" s="3" t="s">
        <v>18</v>
      </c>
      <c r="G1106" s="3">
        <v>4</v>
      </c>
      <c r="H1106" s="3">
        <v>4</v>
      </c>
    </row>
    <row r="1107" spans="1:8" ht="14" x14ac:dyDescent="0.3">
      <c r="A1107" s="3">
        <f>IF(B1106=1, MAX(A$7:A1106)+1, A1106)</f>
        <v>61</v>
      </c>
      <c r="B1107" s="3">
        <v>74</v>
      </c>
      <c r="C1107" s="11" t="s">
        <v>1475</v>
      </c>
      <c r="D1107" s="3">
        <v>-70</v>
      </c>
      <c r="E1107" s="3">
        <v>70</v>
      </c>
      <c r="F1107" s="3" t="s">
        <v>18</v>
      </c>
      <c r="G1107" s="3">
        <v>4</v>
      </c>
      <c r="H1107" s="3">
        <v>4</v>
      </c>
    </row>
    <row r="1108" spans="1:8" ht="14" x14ac:dyDescent="0.3">
      <c r="A1108" s="3">
        <f>IF(B1107=1, MAX(A$7:A1107)+1, A1107)</f>
        <v>61</v>
      </c>
      <c r="B1108" s="3">
        <v>75</v>
      </c>
      <c r="C1108" s="11" t="s">
        <v>1476</v>
      </c>
      <c r="D1108" s="3">
        <v>-2</v>
      </c>
      <c r="E1108" s="3">
        <v>2</v>
      </c>
      <c r="F1108" s="3" t="s">
        <v>18</v>
      </c>
      <c r="G1108" s="3">
        <v>4</v>
      </c>
      <c r="H1108" s="3">
        <v>4</v>
      </c>
    </row>
    <row r="1109" spans="1:8" ht="14" x14ac:dyDescent="0.3">
      <c r="A1109" s="3">
        <f>IF(B1108=1, MAX(A$7:A1108)+1, A1108)</f>
        <v>61</v>
      </c>
      <c r="B1109" s="3">
        <v>76</v>
      </c>
      <c r="C1109" s="11" t="s">
        <v>1477</v>
      </c>
      <c r="D1109" s="3">
        <v>-2</v>
      </c>
      <c r="E1109" s="3">
        <v>2</v>
      </c>
      <c r="F1109" s="3" t="s">
        <v>18</v>
      </c>
      <c r="G1109" s="3">
        <v>4</v>
      </c>
      <c r="H1109" s="3">
        <v>4</v>
      </c>
    </row>
    <row r="1110" spans="1:8" ht="14" x14ac:dyDescent="0.3">
      <c r="A1110" s="3">
        <f>IF(B1109=1, MAX(A$7:A1109)+1, A1109)</f>
        <v>61</v>
      </c>
      <c r="B1110" s="3">
        <v>77</v>
      </c>
      <c r="C1110" s="11" t="s">
        <v>1478</v>
      </c>
      <c r="D1110" s="3">
        <v>-2</v>
      </c>
      <c r="E1110" s="3">
        <v>2</v>
      </c>
      <c r="F1110" s="3" t="s">
        <v>18</v>
      </c>
      <c r="G1110" s="3">
        <v>4</v>
      </c>
      <c r="H1110" s="3">
        <v>4</v>
      </c>
    </row>
    <row r="1111" spans="1:8" ht="14" x14ac:dyDescent="0.3">
      <c r="A1111" s="3">
        <f>IF(B1110=1, MAX(A$7:A1110)+1, A1110)</f>
        <v>61</v>
      </c>
      <c r="B1111" s="3">
        <v>78</v>
      </c>
      <c r="C1111" s="11" t="s">
        <v>1479</v>
      </c>
      <c r="D1111" s="3">
        <v>-4</v>
      </c>
      <c r="E1111" s="3">
        <v>4</v>
      </c>
      <c r="F1111" s="3" t="s">
        <v>18</v>
      </c>
      <c r="G1111" s="3">
        <v>4</v>
      </c>
      <c r="H1111" s="3">
        <v>4</v>
      </c>
    </row>
    <row r="1112" spans="1:8" ht="14" x14ac:dyDescent="0.3">
      <c r="A1112" s="3">
        <f>IF(B1111=1, MAX(A$7:A1111)+1, A1111)</f>
        <v>61</v>
      </c>
      <c r="B1112" s="3">
        <v>79</v>
      </c>
      <c r="C1112" s="11" t="s">
        <v>1480</v>
      </c>
      <c r="D1112" s="3">
        <v>-4</v>
      </c>
      <c r="E1112" s="3">
        <v>4</v>
      </c>
      <c r="F1112" s="3" t="s">
        <v>18</v>
      </c>
      <c r="G1112" s="3">
        <v>4</v>
      </c>
      <c r="H1112" s="3">
        <v>4</v>
      </c>
    </row>
    <row r="1113" spans="1:8" ht="14" x14ac:dyDescent="0.3">
      <c r="A1113" s="3">
        <f>IF(B1112=1, MAX(A$7:A1112)+1, A1112)</f>
        <v>61</v>
      </c>
      <c r="B1113" s="3">
        <v>80</v>
      </c>
      <c r="C1113" s="11" t="s">
        <v>1481</v>
      </c>
      <c r="D1113" s="3">
        <v>-2</v>
      </c>
      <c r="E1113" s="3">
        <v>2</v>
      </c>
      <c r="F1113" s="3" t="s">
        <v>18</v>
      </c>
      <c r="G1113" s="3">
        <v>4</v>
      </c>
      <c r="H1113" s="3">
        <v>4</v>
      </c>
    </row>
    <row r="1114" spans="1:8" ht="14" x14ac:dyDescent="0.3">
      <c r="A1114" s="3">
        <f>IF(B1113=1, MAX(A$7:A1113)+1, A1113)</f>
        <v>61</v>
      </c>
      <c r="B1114" s="3">
        <v>81</v>
      </c>
      <c r="C1114" s="11" t="s">
        <v>1482</v>
      </c>
      <c r="D1114" s="3">
        <v>-2</v>
      </c>
      <c r="E1114" s="3">
        <v>2</v>
      </c>
      <c r="F1114" s="3" t="s">
        <v>18</v>
      </c>
      <c r="G1114" s="3">
        <v>4</v>
      </c>
      <c r="H1114" s="3">
        <v>4</v>
      </c>
    </row>
    <row r="1115" spans="1:8" ht="14" x14ac:dyDescent="0.3">
      <c r="A1115" s="3">
        <f>IF(B1114=1, MAX(A$7:A1114)+1, A1114)</f>
        <v>61</v>
      </c>
      <c r="B1115" s="3">
        <v>82</v>
      </c>
      <c r="C1115" s="11" t="s">
        <v>1483</v>
      </c>
      <c r="D1115" s="3">
        <v>-2</v>
      </c>
      <c r="E1115" s="3">
        <v>3</v>
      </c>
      <c r="F1115" s="3" t="s">
        <v>18</v>
      </c>
      <c r="G1115" s="3">
        <v>4</v>
      </c>
      <c r="H1115" s="3">
        <v>4</v>
      </c>
    </row>
    <row r="1116" spans="1:8" ht="14" x14ac:dyDescent="0.3">
      <c r="A1116" s="3">
        <f>IF(B1115=1, MAX(A$7:A1115)+1, A1115)</f>
        <v>61</v>
      </c>
      <c r="B1116" s="3">
        <v>83</v>
      </c>
      <c r="C1116" s="11" t="s">
        <v>1484</v>
      </c>
      <c r="D1116" s="3">
        <v>-2</v>
      </c>
      <c r="E1116" s="3">
        <v>3</v>
      </c>
      <c r="F1116" s="3" t="s">
        <v>18</v>
      </c>
      <c r="G1116" s="3">
        <v>4</v>
      </c>
      <c r="H1116" s="3">
        <v>4</v>
      </c>
    </row>
    <row r="1117" spans="1:8" ht="14" x14ac:dyDescent="0.3">
      <c r="A1117" s="3">
        <f>IF(B1116=1, MAX(A$7:A1116)+1, A1116)</f>
        <v>61</v>
      </c>
      <c r="B1117" s="3">
        <v>84</v>
      </c>
      <c r="C1117" s="11" t="s">
        <v>1485</v>
      </c>
      <c r="D1117" s="3">
        <v>-20</v>
      </c>
      <c r="E1117" s="3">
        <v>20</v>
      </c>
      <c r="F1117" s="3" t="s">
        <v>18</v>
      </c>
      <c r="G1117" s="3">
        <v>4</v>
      </c>
      <c r="H1117" s="3">
        <v>4</v>
      </c>
    </row>
    <row r="1118" spans="1:8" ht="14" x14ac:dyDescent="0.3">
      <c r="A1118" s="3">
        <f>IF(B1117=1, MAX(A$7:A1117)+1, A1117)</f>
        <v>61</v>
      </c>
      <c r="B1118" s="3">
        <v>85</v>
      </c>
      <c r="C1118" s="11" t="s">
        <v>1486</v>
      </c>
      <c r="D1118" s="3">
        <v>5</v>
      </c>
      <c r="E1118" s="3">
        <v>18</v>
      </c>
      <c r="F1118" s="3" t="s">
        <v>18</v>
      </c>
      <c r="G1118" s="3">
        <v>4</v>
      </c>
      <c r="H1118" s="3">
        <v>4</v>
      </c>
    </row>
    <row r="1119" spans="1:8" ht="14" x14ac:dyDescent="0.3">
      <c r="A1119" s="3">
        <f>IF(B1118=1, MAX(A$7:A1118)+1, A1118)</f>
        <v>61</v>
      </c>
      <c r="B1119" s="3">
        <v>86</v>
      </c>
      <c r="C1119" s="11" t="s">
        <v>1487</v>
      </c>
      <c r="D1119" s="3">
        <v>5</v>
      </c>
      <c r="E1119" s="3">
        <v>18</v>
      </c>
      <c r="F1119" s="3" t="s">
        <v>18</v>
      </c>
      <c r="G1119" s="3">
        <v>4</v>
      </c>
      <c r="H1119" s="3">
        <v>4</v>
      </c>
    </row>
    <row r="1120" spans="1:8" ht="14" x14ac:dyDescent="0.3">
      <c r="A1120" s="3">
        <f>IF(B1119=1, MAX(A$7:A1119)+1, A1119)</f>
        <v>61</v>
      </c>
      <c r="B1120" s="3">
        <v>87</v>
      </c>
      <c r="C1120" s="11" t="s">
        <v>1488</v>
      </c>
      <c r="D1120" s="3">
        <v>-11</v>
      </c>
      <c r="E1120" s="3">
        <v>5</v>
      </c>
      <c r="F1120" s="3" t="s">
        <v>18</v>
      </c>
      <c r="G1120" s="3">
        <v>4</v>
      </c>
      <c r="H1120" s="3">
        <v>4</v>
      </c>
    </row>
    <row r="1121" spans="1:8" ht="14" x14ac:dyDescent="0.3">
      <c r="A1121" s="3">
        <f>IF(B1120=1, MAX(A$7:A1120)+1, A1120)</f>
        <v>61</v>
      </c>
      <c r="B1121" s="3">
        <v>88</v>
      </c>
      <c r="C1121" s="11" t="s">
        <v>1489</v>
      </c>
      <c r="D1121" s="3">
        <v>-11</v>
      </c>
      <c r="E1121" s="3">
        <v>5</v>
      </c>
      <c r="F1121" s="3" t="s">
        <v>18</v>
      </c>
      <c r="G1121" s="3">
        <v>4</v>
      </c>
      <c r="H1121" s="3">
        <v>4</v>
      </c>
    </row>
    <row r="1122" spans="1:8" ht="14" x14ac:dyDescent="0.3">
      <c r="A1122" s="3">
        <f>IF(B1121=1, MAX(A$7:A1121)+1, A1121)</f>
        <v>61</v>
      </c>
      <c r="B1122" s="3">
        <v>1</v>
      </c>
      <c r="C1122" s="11" t="s">
        <v>1490</v>
      </c>
      <c r="D1122" s="3">
        <v>1.5</v>
      </c>
      <c r="E1122" s="3">
        <v>3.5</v>
      </c>
      <c r="F1122" s="3" t="s">
        <v>18</v>
      </c>
      <c r="G1122" s="3">
        <v>4</v>
      </c>
      <c r="H1122" s="3">
        <v>4</v>
      </c>
    </row>
    <row r="1123" spans="1:8" ht="14" x14ac:dyDescent="0.3">
      <c r="A1123" s="3">
        <f>IF(B1122=1, MAX(A$7:A1122)+1, A1122)</f>
        <v>62</v>
      </c>
      <c r="B1123" s="3">
        <v>2</v>
      </c>
      <c r="C1123" s="11" t="s">
        <v>1491</v>
      </c>
      <c r="D1123" s="3">
        <v>-0.15</v>
      </c>
      <c r="E1123" s="3">
        <v>0.45</v>
      </c>
      <c r="F1123" s="3" t="s">
        <v>18</v>
      </c>
      <c r="G1123" s="3">
        <v>4</v>
      </c>
      <c r="H1123" s="3">
        <v>4</v>
      </c>
    </row>
    <row r="1124" spans="1:8" ht="14" x14ac:dyDescent="0.3">
      <c r="A1124" s="3">
        <f>IF(B1123=1, MAX(A$7:A1123)+1, A1123)</f>
        <v>62</v>
      </c>
      <c r="B1124" s="3">
        <v>3</v>
      </c>
      <c r="C1124" s="11" t="s">
        <v>1492</v>
      </c>
      <c r="D1124" s="3">
        <v>-0.15</v>
      </c>
      <c r="E1124" s="3">
        <v>0.45</v>
      </c>
      <c r="F1124" s="3" t="s">
        <v>18</v>
      </c>
      <c r="G1124" s="3">
        <v>4</v>
      </c>
      <c r="H1124" s="3">
        <v>4</v>
      </c>
    </row>
    <row r="1125" spans="1:8" ht="14" x14ac:dyDescent="0.3">
      <c r="A1125" s="3">
        <f>IF(B1124=1, MAX(A$7:A1124)+1, A1124)</f>
        <v>62</v>
      </c>
      <c r="B1125" s="3">
        <v>4</v>
      </c>
      <c r="C1125" s="11" t="s">
        <v>1493</v>
      </c>
      <c r="D1125" s="3">
        <v>-0.15</v>
      </c>
      <c r="E1125" s="3">
        <v>0.45</v>
      </c>
      <c r="F1125" s="3" t="s">
        <v>18</v>
      </c>
      <c r="G1125" s="3">
        <v>4</v>
      </c>
      <c r="H1125" s="3">
        <v>4</v>
      </c>
    </row>
    <row r="1126" spans="1:8" ht="14" x14ac:dyDescent="0.3">
      <c r="A1126" s="3">
        <f>IF(B1125=1, MAX(A$7:A1125)+1, A1125)</f>
        <v>62</v>
      </c>
      <c r="B1126" s="3">
        <v>5</v>
      </c>
      <c r="C1126" s="11" t="s">
        <v>1494</v>
      </c>
      <c r="D1126" s="3">
        <v>-0.15</v>
      </c>
      <c r="E1126" s="3">
        <v>0.45</v>
      </c>
      <c r="F1126" s="3" t="s">
        <v>18</v>
      </c>
      <c r="G1126" s="3">
        <v>4</v>
      </c>
      <c r="H1126" s="3">
        <v>4</v>
      </c>
    </row>
    <row r="1127" spans="1:8" ht="14" x14ac:dyDescent="0.3">
      <c r="A1127" s="3">
        <f>IF(B1126=1, MAX(A$7:A1126)+1, A1126)</f>
        <v>62</v>
      </c>
      <c r="B1127" s="3">
        <v>6</v>
      </c>
      <c r="C1127" s="11" t="s">
        <v>1495</v>
      </c>
      <c r="D1127" s="3">
        <v>-0.15</v>
      </c>
      <c r="E1127" s="3">
        <v>0.15</v>
      </c>
      <c r="F1127" s="3" t="s">
        <v>18</v>
      </c>
      <c r="G1127" s="3">
        <v>4</v>
      </c>
      <c r="H1127" s="3">
        <v>4</v>
      </c>
    </row>
    <row r="1128" spans="1:8" ht="14" x14ac:dyDescent="0.3">
      <c r="A1128" s="3">
        <f>IF(B1127=1, MAX(A$7:A1127)+1, A1127)</f>
        <v>62</v>
      </c>
      <c r="B1128" s="3">
        <v>7</v>
      </c>
      <c r="C1128" s="11" t="s">
        <v>1496</v>
      </c>
      <c r="D1128" s="3">
        <v>-0.15</v>
      </c>
      <c r="E1128" s="3">
        <v>0.45</v>
      </c>
      <c r="F1128" s="3" t="s">
        <v>18</v>
      </c>
      <c r="G1128" s="3">
        <v>4</v>
      </c>
      <c r="H1128" s="3">
        <v>4</v>
      </c>
    </row>
    <row r="1129" spans="1:8" ht="14" x14ac:dyDescent="0.3">
      <c r="A1129" s="3">
        <f>IF(B1128=1, MAX(A$7:A1128)+1, A1128)</f>
        <v>62</v>
      </c>
      <c r="B1129" s="3">
        <v>8</v>
      </c>
      <c r="C1129" s="11" t="s">
        <v>1497</v>
      </c>
      <c r="D1129" s="3">
        <v>-0.15</v>
      </c>
      <c r="E1129" s="3">
        <v>0.15</v>
      </c>
      <c r="F1129" s="3" t="s">
        <v>18</v>
      </c>
      <c r="G1129" s="3">
        <v>4</v>
      </c>
      <c r="H1129" s="3">
        <v>4</v>
      </c>
    </row>
    <row r="1130" spans="1:8" ht="14" x14ac:dyDescent="0.3">
      <c r="A1130" s="3">
        <f>IF(B1129=1, MAX(A$7:A1129)+1, A1129)</f>
        <v>62</v>
      </c>
      <c r="B1130" s="3">
        <v>9</v>
      </c>
      <c r="C1130" s="11" t="s">
        <v>1498</v>
      </c>
      <c r="D1130" s="3">
        <v>-0.15</v>
      </c>
      <c r="E1130" s="3">
        <v>0.45</v>
      </c>
      <c r="F1130" s="3" t="s">
        <v>18</v>
      </c>
      <c r="G1130" s="3">
        <v>4</v>
      </c>
      <c r="H1130" s="3">
        <v>4</v>
      </c>
    </row>
    <row r="1131" spans="1:8" ht="14" x14ac:dyDescent="0.3">
      <c r="A1131" s="3">
        <f>IF(B1130=1, MAX(A$7:A1130)+1, A1130)</f>
        <v>62</v>
      </c>
      <c r="B1131" s="3">
        <v>10</v>
      </c>
      <c r="C1131" s="11" t="s">
        <v>1499</v>
      </c>
      <c r="D1131" s="3">
        <v>-0.15</v>
      </c>
      <c r="E1131" s="3">
        <v>0.15</v>
      </c>
      <c r="F1131" s="3" t="s">
        <v>18</v>
      </c>
      <c r="G1131" s="3">
        <v>4</v>
      </c>
      <c r="H1131" s="3">
        <v>4</v>
      </c>
    </row>
    <row r="1132" spans="1:8" ht="14" x14ac:dyDescent="0.3">
      <c r="A1132" s="3">
        <f>IF(B1131=1, MAX(A$7:A1131)+1, A1131)</f>
        <v>62</v>
      </c>
      <c r="B1132" s="3">
        <v>11</v>
      </c>
      <c r="C1132" s="11" t="s">
        <v>1500</v>
      </c>
      <c r="D1132" s="3">
        <v>-0.15</v>
      </c>
      <c r="E1132" s="3">
        <v>0.15</v>
      </c>
      <c r="F1132" s="3" t="s">
        <v>18</v>
      </c>
      <c r="G1132" s="3">
        <v>4</v>
      </c>
      <c r="H1132" s="3">
        <v>4</v>
      </c>
    </row>
    <row r="1133" spans="1:8" ht="14" x14ac:dyDescent="0.3">
      <c r="A1133" s="3">
        <f>IF(B1132=1, MAX(A$7:A1132)+1, A1132)</f>
        <v>62</v>
      </c>
      <c r="B1133" s="3">
        <v>12</v>
      </c>
      <c r="C1133" s="11" t="s">
        <v>1501</v>
      </c>
      <c r="D1133" s="3">
        <v>-0.15</v>
      </c>
      <c r="E1133" s="3">
        <v>0.15</v>
      </c>
      <c r="F1133" s="3" t="s">
        <v>18</v>
      </c>
      <c r="G1133" s="3">
        <v>4</v>
      </c>
      <c r="H1133" s="3">
        <v>4</v>
      </c>
    </row>
    <row r="1134" spans="1:8" ht="14" x14ac:dyDescent="0.3">
      <c r="A1134" s="3">
        <f>IF(B1133=1, MAX(A$7:A1133)+1, A1133)</f>
        <v>62</v>
      </c>
      <c r="B1134" s="3">
        <v>13</v>
      </c>
      <c r="C1134" s="11" t="s">
        <v>1502</v>
      </c>
      <c r="D1134" s="3">
        <v>-0.15</v>
      </c>
      <c r="E1134" s="3">
        <v>0.15</v>
      </c>
      <c r="F1134" s="3" t="s">
        <v>18</v>
      </c>
      <c r="G1134" s="3">
        <v>4</v>
      </c>
      <c r="H1134" s="3">
        <v>4</v>
      </c>
    </row>
    <row r="1135" spans="1:8" ht="14" x14ac:dyDescent="0.3">
      <c r="A1135" s="3">
        <f>IF(B1134=1, MAX(A$7:A1134)+1, A1134)</f>
        <v>62</v>
      </c>
      <c r="B1135" s="3">
        <v>14</v>
      </c>
      <c r="C1135" s="11" t="s">
        <v>1503</v>
      </c>
      <c r="D1135" s="3">
        <v>-0.15</v>
      </c>
      <c r="E1135" s="3">
        <v>0.15</v>
      </c>
      <c r="F1135" s="3" t="s">
        <v>18</v>
      </c>
      <c r="G1135" s="3">
        <v>4</v>
      </c>
      <c r="H1135" s="3">
        <v>4</v>
      </c>
    </row>
    <row r="1136" spans="1:8" ht="14" x14ac:dyDescent="0.3">
      <c r="A1136" s="3">
        <f>IF(B1135=1, MAX(A$7:A1135)+1, A1135)</f>
        <v>62</v>
      </c>
      <c r="B1136" s="3">
        <v>15</v>
      </c>
      <c r="C1136" s="11" t="s">
        <v>1504</v>
      </c>
      <c r="D1136" s="3">
        <v>-0.15</v>
      </c>
      <c r="E1136" s="3">
        <v>0.15</v>
      </c>
      <c r="F1136" s="3" t="s">
        <v>18</v>
      </c>
      <c r="G1136" s="3">
        <v>4</v>
      </c>
      <c r="H1136" s="3">
        <v>4</v>
      </c>
    </row>
    <row r="1137" spans="1:8" ht="14" x14ac:dyDescent="0.3">
      <c r="A1137" s="3">
        <f>IF(B1136=1, MAX(A$7:A1136)+1, A1136)</f>
        <v>62</v>
      </c>
      <c r="B1137" s="3">
        <v>16</v>
      </c>
      <c r="C1137" s="11" t="s">
        <v>1505</v>
      </c>
      <c r="D1137" s="3">
        <v>-0.15</v>
      </c>
      <c r="E1137" s="3">
        <v>0.15</v>
      </c>
      <c r="F1137" s="3" t="s">
        <v>18</v>
      </c>
      <c r="G1137" s="3">
        <v>4</v>
      </c>
      <c r="H1137" s="3">
        <v>4</v>
      </c>
    </row>
    <row r="1138" spans="1:8" ht="14" x14ac:dyDescent="0.3">
      <c r="A1138" s="3">
        <f>IF(B1137=1, MAX(A$7:A1137)+1, A1137)</f>
        <v>62</v>
      </c>
      <c r="B1138" s="3">
        <v>17</v>
      </c>
      <c r="C1138" s="11" t="s">
        <v>1506</v>
      </c>
      <c r="D1138" s="3">
        <v>-0.15</v>
      </c>
      <c r="E1138" s="3">
        <v>0.15</v>
      </c>
      <c r="F1138" s="3" t="s">
        <v>18</v>
      </c>
      <c r="G1138" s="3">
        <v>4</v>
      </c>
      <c r="H1138" s="3">
        <v>4</v>
      </c>
    </row>
    <row r="1139" spans="1:8" ht="14" x14ac:dyDescent="0.3">
      <c r="A1139" s="3">
        <f>IF(B1138=1, MAX(A$7:A1138)+1, A1138)</f>
        <v>62</v>
      </c>
      <c r="B1139" s="3">
        <v>18</v>
      </c>
      <c r="C1139" s="11" t="s">
        <v>1507</v>
      </c>
      <c r="D1139" s="3">
        <v>-0.15</v>
      </c>
      <c r="E1139" s="3">
        <v>0.15</v>
      </c>
      <c r="F1139" s="3" t="s">
        <v>18</v>
      </c>
      <c r="G1139" s="3">
        <v>4</v>
      </c>
      <c r="H1139" s="3">
        <v>4</v>
      </c>
    </row>
    <row r="1140" spans="1:8" ht="14" x14ac:dyDescent="0.3">
      <c r="A1140" s="3">
        <f>IF(B1139=1, MAX(A$7:A1139)+1, A1139)</f>
        <v>62</v>
      </c>
      <c r="B1140" s="3">
        <v>19</v>
      </c>
      <c r="C1140" s="11" t="s">
        <v>1508</v>
      </c>
      <c r="D1140" s="3">
        <v>1.5</v>
      </c>
      <c r="E1140" s="3">
        <v>3.5</v>
      </c>
      <c r="F1140" s="3" t="s">
        <v>18</v>
      </c>
      <c r="G1140" s="3">
        <v>4</v>
      </c>
      <c r="H1140" s="3">
        <v>4</v>
      </c>
    </row>
    <row r="1141" spans="1:8" ht="14" x14ac:dyDescent="0.3">
      <c r="A1141" s="3">
        <f>IF(B1140=1, MAX(A$7:A1140)+1, A1140)</f>
        <v>62</v>
      </c>
      <c r="B1141" s="3">
        <v>20</v>
      </c>
      <c r="C1141" s="11" t="s">
        <v>1509</v>
      </c>
      <c r="D1141" s="3">
        <v>-0.15</v>
      </c>
      <c r="E1141" s="3">
        <v>0.4</v>
      </c>
      <c r="F1141" s="3" t="s">
        <v>18</v>
      </c>
      <c r="G1141" s="3">
        <v>4</v>
      </c>
      <c r="H1141" s="3">
        <v>4</v>
      </c>
    </row>
    <row r="1142" spans="1:8" ht="14" x14ac:dyDescent="0.3">
      <c r="A1142" s="3">
        <f>IF(B1141=1, MAX(A$7:A1141)+1, A1141)</f>
        <v>62</v>
      </c>
      <c r="B1142" s="3">
        <v>21</v>
      </c>
      <c r="C1142" s="11" t="s">
        <v>1510</v>
      </c>
      <c r="D1142" s="3">
        <v>-0.15</v>
      </c>
      <c r="E1142" s="3">
        <v>0.4</v>
      </c>
      <c r="F1142" s="3" t="s">
        <v>18</v>
      </c>
      <c r="G1142" s="3">
        <v>4</v>
      </c>
      <c r="H1142" s="3">
        <v>4</v>
      </c>
    </row>
    <row r="1143" spans="1:8" ht="14" x14ac:dyDescent="0.3">
      <c r="A1143" s="3">
        <f>IF(B1142=1, MAX(A$7:A1142)+1, A1142)</f>
        <v>62</v>
      </c>
      <c r="B1143" s="3">
        <v>22</v>
      </c>
      <c r="C1143" s="11" t="s">
        <v>1511</v>
      </c>
      <c r="D1143" s="3">
        <v>-0.15</v>
      </c>
      <c r="E1143" s="3">
        <v>0.4</v>
      </c>
      <c r="F1143" s="3" t="s">
        <v>18</v>
      </c>
      <c r="G1143" s="3">
        <v>4</v>
      </c>
      <c r="H1143" s="3">
        <v>4</v>
      </c>
    </row>
    <row r="1144" spans="1:8" ht="14" x14ac:dyDescent="0.3">
      <c r="A1144" s="3">
        <f>IF(B1143=1, MAX(A$7:A1143)+1, A1143)</f>
        <v>62</v>
      </c>
      <c r="B1144" s="3">
        <v>23</v>
      </c>
      <c r="C1144" s="11" t="s">
        <v>1512</v>
      </c>
      <c r="D1144" s="3">
        <v>-0.15</v>
      </c>
      <c r="E1144" s="3">
        <v>0.4</v>
      </c>
      <c r="F1144" s="3" t="s">
        <v>18</v>
      </c>
      <c r="G1144" s="3">
        <v>4</v>
      </c>
      <c r="H1144" s="3">
        <v>4</v>
      </c>
    </row>
    <row r="1145" spans="1:8" ht="14" x14ac:dyDescent="0.3">
      <c r="A1145" s="3">
        <f>IF(B1144=1, MAX(A$7:A1144)+1, A1144)</f>
        <v>62</v>
      </c>
      <c r="B1145" s="3">
        <v>24</v>
      </c>
      <c r="C1145" s="11" t="s">
        <v>1513</v>
      </c>
      <c r="D1145" s="3">
        <v>-0.15</v>
      </c>
      <c r="E1145" s="3">
        <v>0.1</v>
      </c>
      <c r="F1145" s="3" t="s">
        <v>18</v>
      </c>
      <c r="G1145" s="3">
        <v>4</v>
      </c>
      <c r="H1145" s="3">
        <v>4</v>
      </c>
    </row>
    <row r="1146" spans="1:8" ht="14" x14ac:dyDescent="0.3">
      <c r="A1146" s="3">
        <f>IF(B1145=1, MAX(A$7:A1145)+1, A1145)</f>
        <v>62</v>
      </c>
      <c r="B1146" s="3">
        <v>25</v>
      </c>
      <c r="C1146" s="11" t="s">
        <v>1514</v>
      </c>
      <c r="D1146" s="3">
        <v>-0.15</v>
      </c>
      <c r="E1146" s="3">
        <v>0.4</v>
      </c>
      <c r="F1146" s="3" t="s">
        <v>18</v>
      </c>
      <c r="G1146" s="3">
        <v>4</v>
      </c>
      <c r="H1146" s="3">
        <v>4</v>
      </c>
    </row>
    <row r="1147" spans="1:8" ht="14" x14ac:dyDescent="0.3">
      <c r="A1147" s="3">
        <f>IF(B1146=1, MAX(A$7:A1146)+1, A1146)</f>
        <v>62</v>
      </c>
      <c r="B1147" s="3">
        <v>26</v>
      </c>
      <c r="C1147" s="11" t="s">
        <v>1515</v>
      </c>
      <c r="D1147" s="3">
        <v>-0.15</v>
      </c>
      <c r="E1147" s="3">
        <v>0.1</v>
      </c>
      <c r="F1147" s="3" t="s">
        <v>18</v>
      </c>
      <c r="G1147" s="3">
        <v>4</v>
      </c>
      <c r="H1147" s="3">
        <v>4</v>
      </c>
    </row>
    <row r="1148" spans="1:8" ht="14" x14ac:dyDescent="0.3">
      <c r="A1148" s="3">
        <f>IF(B1147=1, MAX(A$7:A1147)+1, A1147)</f>
        <v>62</v>
      </c>
      <c r="B1148" s="3">
        <v>27</v>
      </c>
      <c r="C1148" s="11" t="s">
        <v>1516</v>
      </c>
      <c r="D1148" s="3">
        <v>-0.15</v>
      </c>
      <c r="E1148" s="3">
        <v>0.4</v>
      </c>
      <c r="F1148" s="3" t="s">
        <v>18</v>
      </c>
      <c r="G1148" s="3">
        <v>4</v>
      </c>
      <c r="H1148" s="3">
        <v>4</v>
      </c>
    </row>
    <row r="1149" spans="1:8" ht="14" x14ac:dyDescent="0.3">
      <c r="A1149" s="3">
        <f>IF(B1148=1, MAX(A$7:A1148)+1, A1148)</f>
        <v>62</v>
      </c>
      <c r="B1149" s="3">
        <v>28</v>
      </c>
      <c r="C1149" s="11" t="s">
        <v>1517</v>
      </c>
      <c r="D1149" s="3">
        <v>-0.15</v>
      </c>
      <c r="E1149" s="3">
        <v>0.1</v>
      </c>
      <c r="F1149" s="3" t="s">
        <v>18</v>
      </c>
      <c r="G1149" s="3">
        <v>4</v>
      </c>
      <c r="H1149" s="3">
        <v>4</v>
      </c>
    </row>
    <row r="1150" spans="1:8" ht="14" x14ac:dyDescent="0.3">
      <c r="A1150" s="3">
        <f>IF(B1149=1, MAX(A$7:A1149)+1, A1149)</f>
        <v>62</v>
      </c>
      <c r="B1150" s="3">
        <v>29</v>
      </c>
      <c r="C1150" s="11" t="s">
        <v>1518</v>
      </c>
      <c r="D1150" s="3">
        <v>-0.15</v>
      </c>
      <c r="E1150" s="3">
        <v>0.1</v>
      </c>
      <c r="F1150" s="3" t="s">
        <v>18</v>
      </c>
      <c r="G1150" s="3">
        <v>4</v>
      </c>
      <c r="H1150" s="3">
        <v>4</v>
      </c>
    </row>
    <row r="1151" spans="1:8" ht="14" x14ac:dyDescent="0.3">
      <c r="A1151" s="3">
        <f>IF(B1150=1, MAX(A$7:A1150)+1, A1150)</f>
        <v>62</v>
      </c>
      <c r="B1151" s="3">
        <v>30</v>
      </c>
      <c r="C1151" s="11" t="s">
        <v>1519</v>
      </c>
      <c r="D1151" s="3">
        <v>-0.15</v>
      </c>
      <c r="E1151" s="3">
        <v>0.1</v>
      </c>
      <c r="F1151" s="3" t="s">
        <v>18</v>
      </c>
      <c r="G1151" s="3">
        <v>4</v>
      </c>
      <c r="H1151" s="3">
        <v>4</v>
      </c>
    </row>
    <row r="1152" spans="1:8" ht="14" x14ac:dyDescent="0.3">
      <c r="A1152" s="3">
        <f>IF(B1151=1, MAX(A$7:A1151)+1, A1151)</f>
        <v>62</v>
      </c>
      <c r="B1152" s="3">
        <v>31</v>
      </c>
      <c r="C1152" s="11" t="s">
        <v>1520</v>
      </c>
      <c r="D1152" s="3">
        <v>-0.15</v>
      </c>
      <c r="E1152" s="3">
        <v>0.1</v>
      </c>
      <c r="F1152" s="3" t="s">
        <v>18</v>
      </c>
      <c r="G1152" s="3">
        <v>4</v>
      </c>
      <c r="H1152" s="3">
        <v>4</v>
      </c>
    </row>
    <row r="1153" spans="1:8" ht="14" x14ac:dyDescent="0.3">
      <c r="A1153" s="3">
        <f>IF(B1152=1, MAX(A$7:A1152)+1, A1152)</f>
        <v>62</v>
      </c>
      <c r="B1153" s="3">
        <v>32</v>
      </c>
      <c r="C1153" s="11" t="s">
        <v>1521</v>
      </c>
      <c r="D1153" s="3">
        <v>-0.15</v>
      </c>
      <c r="E1153" s="3">
        <v>0.1</v>
      </c>
      <c r="F1153" s="3" t="s">
        <v>18</v>
      </c>
      <c r="G1153" s="3">
        <v>4</v>
      </c>
      <c r="H1153" s="3">
        <v>4</v>
      </c>
    </row>
    <row r="1154" spans="1:8" ht="14" x14ac:dyDescent="0.3">
      <c r="A1154" s="3">
        <f>IF(B1153=1, MAX(A$7:A1153)+1, A1153)</f>
        <v>62</v>
      </c>
      <c r="B1154" s="3">
        <v>33</v>
      </c>
      <c r="C1154" s="11" t="s">
        <v>1522</v>
      </c>
      <c r="D1154" s="3">
        <v>-0.15</v>
      </c>
      <c r="E1154" s="3">
        <v>0.1</v>
      </c>
      <c r="F1154" s="3" t="s">
        <v>18</v>
      </c>
      <c r="G1154" s="3">
        <v>4</v>
      </c>
      <c r="H1154" s="3">
        <v>4</v>
      </c>
    </row>
    <row r="1155" spans="1:8" ht="14" x14ac:dyDescent="0.3">
      <c r="A1155" s="3">
        <f>IF(B1154=1, MAX(A$7:A1154)+1, A1154)</f>
        <v>62</v>
      </c>
      <c r="B1155" s="3">
        <v>34</v>
      </c>
      <c r="C1155" s="11" t="s">
        <v>1523</v>
      </c>
      <c r="D1155" s="3">
        <v>-0.15</v>
      </c>
      <c r="E1155" s="3">
        <v>0.1</v>
      </c>
      <c r="F1155" s="3" t="s">
        <v>18</v>
      </c>
      <c r="G1155" s="3">
        <v>4</v>
      </c>
      <c r="H1155" s="3">
        <v>4</v>
      </c>
    </row>
    <row r="1156" spans="1:8" ht="14" x14ac:dyDescent="0.3">
      <c r="A1156" s="3">
        <f>IF(B1155=1, MAX(A$7:A1155)+1, A1155)</f>
        <v>62</v>
      </c>
      <c r="B1156" s="3">
        <v>35</v>
      </c>
      <c r="C1156" s="11" t="s">
        <v>1524</v>
      </c>
      <c r="D1156" s="3">
        <v>-0.15</v>
      </c>
      <c r="E1156" s="3">
        <v>0.5</v>
      </c>
      <c r="F1156" s="3" t="s">
        <v>18</v>
      </c>
      <c r="G1156" s="3">
        <v>4</v>
      </c>
      <c r="H1156" s="3">
        <v>4</v>
      </c>
    </row>
    <row r="1157" spans="1:8" ht="14" x14ac:dyDescent="0.3">
      <c r="A1157" s="3">
        <f>IF(B1156=1, MAX(A$7:A1156)+1, A1156)</f>
        <v>62</v>
      </c>
      <c r="B1157" s="3">
        <v>36</v>
      </c>
      <c r="C1157" s="11" t="s">
        <v>1525</v>
      </c>
      <c r="D1157" s="3">
        <v>-0.15</v>
      </c>
      <c r="E1157" s="3">
        <v>0.1</v>
      </c>
      <c r="F1157" s="3" t="s">
        <v>18</v>
      </c>
      <c r="G1157" s="3">
        <v>4</v>
      </c>
      <c r="H1157" s="3">
        <v>4</v>
      </c>
    </row>
    <row r="1158" spans="1:8" ht="14" x14ac:dyDescent="0.3">
      <c r="A1158" s="3">
        <f>IF(B1157=1, MAX(A$7:A1157)+1, A1157)</f>
        <v>62</v>
      </c>
      <c r="B1158" s="3">
        <v>37</v>
      </c>
      <c r="C1158" s="11" t="s">
        <v>1526</v>
      </c>
      <c r="D1158" s="3">
        <v>-0.15</v>
      </c>
      <c r="E1158" s="3">
        <v>0.6</v>
      </c>
      <c r="F1158" s="3" t="s">
        <v>18</v>
      </c>
      <c r="G1158" s="3">
        <v>4</v>
      </c>
      <c r="H1158" s="3">
        <v>4</v>
      </c>
    </row>
    <row r="1159" spans="1:8" ht="14" x14ac:dyDescent="0.3">
      <c r="A1159" s="3">
        <f>IF(B1158=1, MAX(A$7:A1158)+1, A1158)</f>
        <v>62</v>
      </c>
      <c r="B1159" s="3">
        <v>38</v>
      </c>
      <c r="C1159" s="11" t="s">
        <v>1527</v>
      </c>
      <c r="D1159" s="3">
        <v>-0.15</v>
      </c>
      <c r="E1159" s="3">
        <v>0.6</v>
      </c>
      <c r="F1159" s="3" t="s">
        <v>18</v>
      </c>
      <c r="G1159" s="3">
        <v>4</v>
      </c>
      <c r="H1159" s="3">
        <v>4</v>
      </c>
    </row>
    <row r="1160" spans="1:8" ht="14" x14ac:dyDescent="0.3">
      <c r="A1160" s="3">
        <f>IF(B1159=1, MAX(A$7:A1159)+1, A1159)</f>
        <v>62</v>
      </c>
      <c r="B1160" s="3">
        <v>39</v>
      </c>
      <c r="C1160" s="11" t="s">
        <v>1528</v>
      </c>
      <c r="D1160" s="3">
        <v>0.1</v>
      </c>
      <c r="E1160" s="3">
        <v>0.8</v>
      </c>
      <c r="F1160" s="3" t="s">
        <v>18</v>
      </c>
      <c r="G1160" s="3">
        <v>4</v>
      </c>
      <c r="H1160" s="3">
        <v>4</v>
      </c>
    </row>
    <row r="1161" spans="1:8" ht="14" x14ac:dyDescent="0.3">
      <c r="A1161" s="3">
        <f>IF(B1160=1, MAX(A$7:A1160)+1, A1160)</f>
        <v>62</v>
      </c>
      <c r="B1161" s="3">
        <v>40</v>
      </c>
      <c r="C1161" s="11" t="s">
        <v>1529</v>
      </c>
      <c r="D1161" s="3">
        <v>-0.1</v>
      </c>
      <c r="E1161" s="3">
        <v>0.5</v>
      </c>
      <c r="F1161" s="3" t="s">
        <v>18</v>
      </c>
      <c r="G1161" s="3">
        <v>4</v>
      </c>
      <c r="H1161" s="3">
        <v>4</v>
      </c>
    </row>
    <row r="1162" spans="1:8" ht="14" x14ac:dyDescent="0.3">
      <c r="A1162" s="3">
        <f>IF(B1161=1, MAX(A$7:A1161)+1, A1161)</f>
        <v>62</v>
      </c>
      <c r="B1162" s="3">
        <v>41</v>
      </c>
      <c r="C1162" s="11" t="s">
        <v>1530</v>
      </c>
      <c r="D1162" s="3">
        <v>-0.1</v>
      </c>
      <c r="E1162" s="3">
        <v>0.3</v>
      </c>
      <c r="F1162" s="3" t="s">
        <v>18</v>
      </c>
      <c r="G1162" s="3">
        <v>4</v>
      </c>
      <c r="H1162" s="3">
        <v>4</v>
      </c>
    </row>
    <row r="1163" spans="1:8" ht="14" x14ac:dyDescent="0.3">
      <c r="A1163" s="3">
        <f>IF(B1162=1, MAX(A$7:A1162)+1, A1162)</f>
        <v>62</v>
      </c>
      <c r="B1163" s="3">
        <v>42</v>
      </c>
      <c r="C1163" s="11" t="s">
        <v>1531</v>
      </c>
      <c r="D1163" s="3">
        <v>-0.1</v>
      </c>
      <c r="E1163" s="3">
        <v>0.1</v>
      </c>
      <c r="F1163" s="3" t="s">
        <v>18</v>
      </c>
      <c r="G1163" s="3">
        <v>4</v>
      </c>
      <c r="H1163" s="3">
        <v>4</v>
      </c>
    </row>
    <row r="1164" spans="1:8" ht="14" x14ac:dyDescent="0.3">
      <c r="A1164" s="3">
        <f>IF(B1163=1, MAX(A$7:A1163)+1, A1163)</f>
        <v>62</v>
      </c>
      <c r="B1164" s="3">
        <v>43</v>
      </c>
      <c r="C1164" s="11" t="s">
        <v>1532</v>
      </c>
      <c r="D1164" s="3">
        <v>-0.1</v>
      </c>
      <c r="E1164" s="3">
        <v>0.1</v>
      </c>
      <c r="F1164" s="3" t="s">
        <v>18</v>
      </c>
      <c r="G1164" s="3">
        <v>4</v>
      </c>
      <c r="H1164" s="3">
        <v>4</v>
      </c>
    </row>
    <row r="1165" spans="1:8" ht="14" x14ac:dyDescent="0.3">
      <c r="A1165" s="3">
        <f>IF(B1164=1, MAX(A$7:A1164)+1, A1164)</f>
        <v>62</v>
      </c>
      <c r="B1165" s="3">
        <v>44</v>
      </c>
      <c r="C1165" s="11" t="s">
        <v>1533</v>
      </c>
      <c r="D1165" s="3">
        <v>-0.1</v>
      </c>
      <c r="E1165" s="3">
        <v>0.1</v>
      </c>
      <c r="F1165" s="3" t="s">
        <v>18</v>
      </c>
      <c r="G1165" s="3">
        <v>4</v>
      </c>
      <c r="H1165" s="3">
        <v>4</v>
      </c>
    </row>
    <row r="1166" spans="1:8" ht="14" x14ac:dyDescent="0.3">
      <c r="A1166" s="3">
        <f>IF(B1165=1, MAX(A$7:A1165)+1, A1165)</f>
        <v>62</v>
      </c>
      <c r="B1166" s="3">
        <v>45</v>
      </c>
      <c r="C1166" s="11" t="s">
        <v>1534</v>
      </c>
      <c r="D1166" s="3">
        <v>-0.1</v>
      </c>
      <c r="E1166" s="3">
        <v>0.1</v>
      </c>
      <c r="F1166" s="3" t="s">
        <v>18</v>
      </c>
      <c r="G1166" s="3">
        <v>4</v>
      </c>
      <c r="H1166" s="3">
        <v>4</v>
      </c>
    </row>
    <row r="1167" spans="1:8" ht="14" x14ac:dyDescent="0.3">
      <c r="A1167" s="3">
        <f>IF(B1166=1, MAX(A$7:A1166)+1, A1166)</f>
        <v>62</v>
      </c>
      <c r="B1167" s="3">
        <v>1</v>
      </c>
      <c r="C1167" s="11" t="s">
        <v>1535</v>
      </c>
      <c r="D1167" s="3">
        <v>0</v>
      </c>
      <c r="E1167" s="3">
        <v>0</v>
      </c>
      <c r="F1167" s="3" t="s">
        <v>41</v>
      </c>
      <c r="G1167" s="3">
        <v>4</v>
      </c>
      <c r="H1167" s="3">
        <v>4</v>
      </c>
    </row>
    <row r="1168" spans="1:8" ht="14" x14ac:dyDescent="0.3">
      <c r="A1168" s="3">
        <f>IF(B1167=1, MAX(A$7:A1167)+1, A1167)</f>
        <v>63</v>
      </c>
      <c r="B1168" s="3">
        <v>2</v>
      </c>
      <c r="C1168" s="11" t="s">
        <v>1536</v>
      </c>
      <c r="D1168" s="3">
        <v>0</v>
      </c>
      <c r="E1168" s="3">
        <v>0</v>
      </c>
      <c r="F1168" s="3" t="s">
        <v>41</v>
      </c>
      <c r="G1168" s="3">
        <v>4</v>
      </c>
      <c r="H1168" s="3">
        <v>4</v>
      </c>
    </row>
    <row r="1169" spans="1:8" ht="14" x14ac:dyDescent="0.3">
      <c r="A1169" s="3">
        <f>IF(B1168=1, MAX(A$7:A1168)+1, A1168)</f>
        <v>63</v>
      </c>
      <c r="B1169" s="3">
        <v>3</v>
      </c>
      <c r="C1169" s="11" t="s">
        <v>1537</v>
      </c>
      <c r="D1169" s="3">
        <v>0</v>
      </c>
      <c r="E1169" s="3">
        <v>0</v>
      </c>
      <c r="F1169" s="3" t="s">
        <v>41</v>
      </c>
      <c r="G1169" s="3">
        <v>4</v>
      </c>
      <c r="H1169" s="3">
        <v>4</v>
      </c>
    </row>
    <row r="1170" spans="1:8" ht="14" x14ac:dyDescent="0.3">
      <c r="A1170" s="3">
        <f>IF(B1169=1, MAX(A$7:A1169)+1, A1169)</f>
        <v>63</v>
      </c>
      <c r="B1170" s="3">
        <v>4</v>
      </c>
      <c r="C1170" s="11" t="s">
        <v>1538</v>
      </c>
      <c r="D1170" s="3">
        <v>-0.67600000000000005</v>
      </c>
      <c r="E1170" s="3">
        <v>-0.47599999999999998</v>
      </c>
      <c r="F1170" s="3" t="s">
        <v>8</v>
      </c>
      <c r="G1170" s="3">
        <v>4</v>
      </c>
      <c r="H1170" s="3">
        <v>4</v>
      </c>
    </row>
    <row r="1171" spans="1:8" ht="14" x14ac:dyDescent="0.3">
      <c r="A1171" s="3">
        <f>IF(B1170=1, MAX(A$7:A1170)+1, A1170)</f>
        <v>63</v>
      </c>
      <c r="B1171" s="3">
        <v>5</v>
      </c>
      <c r="C1171" s="11" t="s">
        <v>1539</v>
      </c>
      <c r="D1171" s="3">
        <v>-0.72199999999999998</v>
      </c>
      <c r="E1171" s="3">
        <v>-0.52200000000000002</v>
      </c>
      <c r="F1171" s="3" t="s">
        <v>8</v>
      </c>
      <c r="G1171" s="3">
        <v>4</v>
      </c>
      <c r="H1171" s="3">
        <v>4</v>
      </c>
    </row>
    <row r="1172" spans="1:8" ht="14" x14ac:dyDescent="0.3">
      <c r="A1172" s="3">
        <f>IF(B1171=1, MAX(A$7:A1171)+1, A1171)</f>
        <v>63</v>
      </c>
      <c r="B1172" s="3">
        <v>6</v>
      </c>
      <c r="C1172" s="11" t="s">
        <v>1540</v>
      </c>
      <c r="D1172" s="3">
        <v>-0.72199999999999998</v>
      </c>
      <c r="E1172" s="3">
        <v>-0.52200000000000002</v>
      </c>
      <c r="F1172" s="3" t="s">
        <v>8</v>
      </c>
      <c r="G1172" s="3">
        <v>4</v>
      </c>
      <c r="H1172" s="3">
        <v>4</v>
      </c>
    </row>
    <row r="1173" spans="1:8" ht="14" x14ac:dyDescent="0.3">
      <c r="A1173" s="3">
        <f>IF(B1172=1, MAX(A$7:A1172)+1, A1172)</f>
        <v>63</v>
      </c>
      <c r="B1173" s="3">
        <v>7</v>
      </c>
      <c r="C1173" s="11" t="s">
        <v>1541</v>
      </c>
      <c r="D1173" s="3">
        <v>-0.72299999999999998</v>
      </c>
      <c r="E1173" s="3">
        <v>-0.52300000000000002</v>
      </c>
      <c r="F1173" s="3" t="s">
        <v>8</v>
      </c>
      <c r="G1173" s="3">
        <v>4</v>
      </c>
      <c r="H1173" s="3">
        <v>4</v>
      </c>
    </row>
    <row r="1174" spans="1:8" ht="14" x14ac:dyDescent="0.3">
      <c r="A1174" s="3">
        <f>IF(B1173=1, MAX(A$7:A1173)+1, A1173)</f>
        <v>63</v>
      </c>
      <c r="B1174" s="3">
        <v>8</v>
      </c>
      <c r="C1174" s="11" t="s">
        <v>1542</v>
      </c>
      <c r="D1174" s="3">
        <v>-0.72299999999999998</v>
      </c>
      <c r="E1174" s="3">
        <v>-0.52300000000000002</v>
      </c>
      <c r="F1174" s="3" t="s">
        <v>8</v>
      </c>
      <c r="G1174" s="3">
        <v>4</v>
      </c>
      <c r="H1174" s="3">
        <v>4</v>
      </c>
    </row>
    <row r="1175" spans="1:8" ht="14" x14ac:dyDescent="0.3">
      <c r="A1175" s="3">
        <f>IF(B1174=1, MAX(A$7:A1174)+1, A1174)</f>
        <v>63</v>
      </c>
      <c r="B1175" s="3">
        <v>9</v>
      </c>
      <c r="C1175" s="11" t="s">
        <v>1543</v>
      </c>
      <c r="D1175" s="3">
        <v>-0.72599999999999998</v>
      </c>
      <c r="E1175" s="3">
        <v>-0.52600000000000002</v>
      </c>
      <c r="F1175" s="3" t="s">
        <v>8</v>
      </c>
      <c r="G1175" s="3">
        <v>4</v>
      </c>
      <c r="H1175" s="3">
        <v>4</v>
      </c>
    </row>
    <row r="1176" spans="1:8" ht="14" x14ac:dyDescent="0.3">
      <c r="A1176" s="3">
        <f>IF(B1175=1, MAX(A$7:A1175)+1, A1175)</f>
        <v>63</v>
      </c>
      <c r="B1176" s="3">
        <v>10</v>
      </c>
      <c r="C1176" s="11" t="s">
        <v>1544</v>
      </c>
      <c r="D1176" s="3">
        <v>-0.75</v>
      </c>
      <c r="E1176" s="3">
        <v>-0.55000000000000004</v>
      </c>
      <c r="F1176" s="3" t="s">
        <v>8</v>
      </c>
      <c r="G1176" s="3">
        <v>4</v>
      </c>
      <c r="H1176" s="3">
        <v>4</v>
      </c>
    </row>
    <row r="1177" spans="1:8" ht="14" x14ac:dyDescent="0.3">
      <c r="A1177" s="3">
        <f>IF(B1176=1, MAX(A$7:A1176)+1, A1176)</f>
        <v>63</v>
      </c>
      <c r="B1177" s="3">
        <v>11</v>
      </c>
      <c r="C1177" s="11" t="s">
        <v>1545</v>
      </c>
      <c r="D1177" s="3">
        <v>-0.71799999999999997</v>
      </c>
      <c r="E1177" s="3">
        <v>-0.51800000000000002</v>
      </c>
      <c r="F1177" s="3" t="s">
        <v>8</v>
      </c>
      <c r="G1177" s="3">
        <v>4</v>
      </c>
      <c r="H1177" s="3">
        <v>4</v>
      </c>
    </row>
    <row r="1178" spans="1:8" ht="14" x14ac:dyDescent="0.3">
      <c r="A1178" s="3">
        <f>IF(B1177=1, MAX(A$7:A1177)+1, A1177)</f>
        <v>63</v>
      </c>
      <c r="B1178" s="3">
        <v>12</v>
      </c>
      <c r="C1178" s="11" t="s">
        <v>1546</v>
      </c>
      <c r="D1178" s="3">
        <v>-0.75</v>
      </c>
      <c r="E1178" s="3">
        <v>-0.55000000000000004</v>
      </c>
      <c r="F1178" s="3" t="s">
        <v>8</v>
      </c>
      <c r="G1178" s="3">
        <v>4</v>
      </c>
      <c r="H1178" s="3">
        <v>4</v>
      </c>
    </row>
    <row r="1179" spans="1:8" ht="14" x14ac:dyDescent="0.3">
      <c r="A1179" s="3">
        <f>IF(B1178=1, MAX(A$7:A1178)+1, A1178)</f>
        <v>63</v>
      </c>
      <c r="B1179" s="3">
        <v>13</v>
      </c>
      <c r="C1179" s="11" t="s">
        <v>1547</v>
      </c>
      <c r="D1179" s="3">
        <v>-0.751</v>
      </c>
      <c r="E1179" s="3">
        <v>-0.55100000000000005</v>
      </c>
      <c r="F1179" s="3" t="s">
        <v>8</v>
      </c>
      <c r="G1179" s="3">
        <v>4</v>
      </c>
      <c r="H1179" s="3">
        <v>4</v>
      </c>
    </row>
    <row r="1180" spans="1:8" ht="14" x14ac:dyDescent="0.3">
      <c r="A1180" s="3">
        <f>IF(B1179=1, MAX(A$7:A1179)+1, A1179)</f>
        <v>63</v>
      </c>
      <c r="B1180" s="3">
        <v>14</v>
      </c>
      <c r="C1180" s="11" t="s">
        <v>1548</v>
      </c>
      <c r="D1180" s="3">
        <v>-0.71599999999999997</v>
      </c>
      <c r="E1180" s="3">
        <v>-0.51600000000000001</v>
      </c>
      <c r="F1180" s="3" t="s">
        <v>8</v>
      </c>
      <c r="G1180" s="3">
        <v>4</v>
      </c>
      <c r="H1180" s="3">
        <v>4</v>
      </c>
    </row>
    <row r="1181" spans="1:8" ht="14" x14ac:dyDescent="0.3">
      <c r="A1181" s="3">
        <f>IF(B1180=1, MAX(A$7:A1180)+1, A1180)</f>
        <v>63</v>
      </c>
      <c r="B1181" s="3">
        <v>15</v>
      </c>
      <c r="C1181" s="11" t="s">
        <v>1549</v>
      </c>
      <c r="D1181" s="3">
        <v>-0.72</v>
      </c>
      <c r="E1181" s="3">
        <v>-0.52</v>
      </c>
      <c r="F1181" s="3" t="s">
        <v>8</v>
      </c>
      <c r="G1181" s="3">
        <v>4</v>
      </c>
      <c r="H1181" s="3">
        <v>4</v>
      </c>
    </row>
    <row r="1182" spans="1:8" ht="14" x14ac:dyDescent="0.3">
      <c r="A1182" s="3">
        <f>IF(B1181=1, MAX(A$7:A1181)+1, A1181)</f>
        <v>63</v>
      </c>
      <c r="B1182" s="3">
        <v>16</v>
      </c>
      <c r="C1182" s="11" t="s">
        <v>1550</v>
      </c>
      <c r="D1182" s="3">
        <v>-0.75</v>
      </c>
      <c r="E1182" s="3">
        <v>-0.55000000000000004</v>
      </c>
      <c r="F1182" s="3" t="s">
        <v>8</v>
      </c>
      <c r="G1182" s="3">
        <v>4</v>
      </c>
      <c r="H1182" s="3">
        <v>4</v>
      </c>
    </row>
    <row r="1183" spans="1:8" ht="14" x14ac:dyDescent="0.3">
      <c r="A1183" s="3">
        <f>IF(B1182=1, MAX(A$7:A1182)+1, A1182)</f>
        <v>63</v>
      </c>
      <c r="B1183" s="3">
        <v>17</v>
      </c>
      <c r="C1183" s="11" t="s">
        <v>1551</v>
      </c>
      <c r="D1183" s="3">
        <v>-0.72499999999999998</v>
      </c>
      <c r="E1183" s="3">
        <v>-0.52500000000000002</v>
      </c>
      <c r="F1183" s="3" t="s">
        <v>8</v>
      </c>
      <c r="G1183" s="3">
        <v>4</v>
      </c>
      <c r="H1183" s="3">
        <v>4</v>
      </c>
    </row>
    <row r="1184" spans="1:8" ht="14" x14ac:dyDescent="0.3">
      <c r="A1184" s="3">
        <f>IF(B1183=1, MAX(A$7:A1183)+1, A1183)</f>
        <v>63</v>
      </c>
      <c r="B1184" s="3">
        <v>18</v>
      </c>
      <c r="C1184" s="11" t="s">
        <v>1552</v>
      </c>
      <c r="D1184" s="3">
        <v>-0.751</v>
      </c>
      <c r="E1184" s="3">
        <v>-0.55100000000000005</v>
      </c>
      <c r="F1184" s="3" t="s">
        <v>8</v>
      </c>
      <c r="G1184" s="3">
        <v>4</v>
      </c>
      <c r="H1184" s="3">
        <v>4</v>
      </c>
    </row>
    <row r="1185" spans="1:8" ht="14" x14ac:dyDescent="0.3">
      <c r="A1185" s="3">
        <f>IF(B1184=1, MAX(A$7:A1184)+1, A1184)</f>
        <v>63</v>
      </c>
      <c r="B1185" s="3">
        <v>19</v>
      </c>
      <c r="C1185" s="11" t="s">
        <v>1553</v>
      </c>
      <c r="D1185" s="3">
        <v>-0.68500000000000005</v>
      </c>
      <c r="E1185" s="3">
        <v>-0.48499999999999999</v>
      </c>
      <c r="F1185" s="3" t="s">
        <v>8</v>
      </c>
      <c r="G1185" s="3">
        <v>4</v>
      </c>
      <c r="H1185" s="3">
        <v>4</v>
      </c>
    </row>
    <row r="1186" spans="1:8" ht="14" x14ac:dyDescent="0.3">
      <c r="A1186" s="3">
        <f>IF(B1185=1, MAX(A$7:A1185)+1, A1185)</f>
        <v>63</v>
      </c>
      <c r="B1186" s="3">
        <v>20</v>
      </c>
      <c r="C1186" s="11" t="s">
        <v>1554</v>
      </c>
      <c r="D1186" s="3">
        <v>-0.72499999999999998</v>
      </c>
      <c r="E1186" s="3">
        <v>-0.52500000000000002</v>
      </c>
      <c r="F1186" s="3" t="s">
        <v>8</v>
      </c>
      <c r="G1186" s="3">
        <v>4</v>
      </c>
      <c r="H1186" s="3">
        <v>4</v>
      </c>
    </row>
    <row r="1187" spans="1:8" ht="14" x14ac:dyDescent="0.3">
      <c r="A1187" s="3">
        <f>IF(B1186=1, MAX(A$7:A1186)+1, A1186)</f>
        <v>63</v>
      </c>
      <c r="B1187" s="3">
        <v>21</v>
      </c>
      <c r="C1187" s="11" t="s">
        <v>1555</v>
      </c>
      <c r="D1187" s="3">
        <v>-0.68899999999999995</v>
      </c>
      <c r="E1187" s="3">
        <v>-0.48899999999999999</v>
      </c>
      <c r="F1187" s="3" t="s">
        <v>8</v>
      </c>
      <c r="G1187" s="3">
        <v>4</v>
      </c>
      <c r="H1187" s="3">
        <v>4</v>
      </c>
    </row>
    <row r="1188" spans="1:8" ht="14" x14ac:dyDescent="0.3">
      <c r="A1188" s="3">
        <f>IF(B1187=1, MAX(A$7:A1187)+1, A1187)</f>
        <v>63</v>
      </c>
      <c r="B1188" s="3">
        <v>22</v>
      </c>
      <c r="C1188" s="11" t="s">
        <v>1556</v>
      </c>
      <c r="D1188" s="3">
        <v>-0.67</v>
      </c>
      <c r="E1188" s="3">
        <v>-0.47</v>
      </c>
      <c r="F1188" s="3" t="s">
        <v>8</v>
      </c>
      <c r="G1188" s="3">
        <v>4</v>
      </c>
      <c r="H1188" s="3">
        <v>4</v>
      </c>
    </row>
    <row r="1189" spans="1:8" ht="14" x14ac:dyDescent="0.3">
      <c r="A1189" s="3">
        <f>IF(B1188=1, MAX(A$7:A1188)+1, A1188)</f>
        <v>63</v>
      </c>
      <c r="B1189" s="3">
        <v>23</v>
      </c>
      <c r="C1189" s="11" t="s">
        <v>1557</v>
      </c>
      <c r="D1189" s="3">
        <v>-0.72199999999999998</v>
      </c>
      <c r="E1189" s="3">
        <v>-0.52200000000000002</v>
      </c>
      <c r="F1189" s="3" t="s">
        <v>8</v>
      </c>
      <c r="G1189" s="3">
        <v>4</v>
      </c>
      <c r="H1189" s="3">
        <v>4</v>
      </c>
    </row>
    <row r="1190" spans="1:8" ht="14" x14ac:dyDescent="0.3">
      <c r="A1190" s="3">
        <f>IF(B1189=1, MAX(A$7:A1189)+1, A1189)</f>
        <v>63</v>
      </c>
      <c r="B1190" s="3">
        <v>24</v>
      </c>
      <c r="C1190" s="11" t="s">
        <v>1558</v>
      </c>
      <c r="D1190" s="3">
        <v>-0.72199999999999998</v>
      </c>
      <c r="E1190" s="3">
        <v>-0.52200000000000002</v>
      </c>
      <c r="F1190" s="3" t="s">
        <v>8</v>
      </c>
      <c r="G1190" s="3">
        <v>4</v>
      </c>
      <c r="H1190" s="3">
        <v>4</v>
      </c>
    </row>
    <row r="1191" spans="1:8" ht="14" x14ac:dyDescent="0.3">
      <c r="A1191" s="3">
        <f>IF(B1190=1, MAX(A$7:A1190)+1, A1190)</f>
        <v>63</v>
      </c>
      <c r="B1191" s="3">
        <v>25</v>
      </c>
      <c r="C1191" s="11" t="s">
        <v>1559</v>
      </c>
      <c r="D1191" s="3">
        <v>-0.72299999999999998</v>
      </c>
      <c r="E1191" s="3">
        <v>-0.52300000000000002</v>
      </c>
      <c r="F1191" s="3" t="s">
        <v>8</v>
      </c>
      <c r="G1191" s="3">
        <v>4</v>
      </c>
      <c r="H1191" s="3">
        <v>4</v>
      </c>
    </row>
    <row r="1192" spans="1:8" ht="14" x14ac:dyDescent="0.3">
      <c r="A1192" s="3">
        <f>IF(B1191=1, MAX(A$7:A1191)+1, A1191)</f>
        <v>63</v>
      </c>
      <c r="B1192" s="3">
        <v>26</v>
      </c>
      <c r="C1192" s="11" t="s">
        <v>1560</v>
      </c>
      <c r="D1192" s="3">
        <v>-0.72299999999999998</v>
      </c>
      <c r="E1192" s="3">
        <v>-0.52300000000000002</v>
      </c>
      <c r="F1192" s="3" t="s">
        <v>8</v>
      </c>
      <c r="G1192" s="3">
        <v>4</v>
      </c>
      <c r="H1192" s="3">
        <v>4</v>
      </c>
    </row>
    <row r="1193" spans="1:8" ht="14" x14ac:dyDescent="0.3">
      <c r="A1193" s="3">
        <f>IF(B1192=1, MAX(A$7:A1192)+1, A1192)</f>
        <v>63</v>
      </c>
      <c r="B1193" s="3">
        <v>27</v>
      </c>
      <c r="C1193" s="11" t="s">
        <v>1561</v>
      </c>
      <c r="D1193" s="3">
        <v>-0.72499999999999998</v>
      </c>
      <c r="E1193" s="3">
        <v>-0.52500000000000002</v>
      </c>
      <c r="F1193" s="3" t="s">
        <v>8</v>
      </c>
      <c r="G1193" s="3">
        <v>4</v>
      </c>
      <c r="H1193" s="3">
        <v>4</v>
      </c>
    </row>
    <row r="1194" spans="1:8" ht="14" x14ac:dyDescent="0.3">
      <c r="A1194" s="3">
        <f>IF(B1193=1, MAX(A$7:A1193)+1, A1193)</f>
        <v>63</v>
      </c>
      <c r="B1194" s="3">
        <v>28</v>
      </c>
      <c r="C1194" s="11" t="s">
        <v>1562</v>
      </c>
      <c r="D1194" s="3">
        <v>-0.75</v>
      </c>
      <c r="E1194" s="3">
        <v>-0.55000000000000004</v>
      </c>
      <c r="F1194" s="3" t="s">
        <v>8</v>
      </c>
      <c r="G1194" s="3">
        <v>4</v>
      </c>
      <c r="H1194" s="3">
        <v>4</v>
      </c>
    </row>
    <row r="1195" spans="1:8" ht="14" x14ac:dyDescent="0.3">
      <c r="A1195" s="3">
        <f>IF(B1194=1, MAX(A$7:A1194)+1, A1194)</f>
        <v>63</v>
      </c>
      <c r="B1195" s="3">
        <v>29</v>
      </c>
      <c r="C1195" s="11" t="s">
        <v>1563</v>
      </c>
      <c r="D1195" s="3">
        <v>-0.71599999999999997</v>
      </c>
      <c r="E1195" s="3">
        <v>-0.51600000000000001</v>
      </c>
      <c r="F1195" s="3" t="s">
        <v>8</v>
      </c>
      <c r="G1195" s="3">
        <v>4</v>
      </c>
      <c r="H1195" s="3">
        <v>4</v>
      </c>
    </row>
    <row r="1196" spans="1:8" ht="14" x14ac:dyDescent="0.3">
      <c r="A1196" s="3">
        <f>IF(B1195=1, MAX(A$7:A1195)+1, A1195)</f>
        <v>63</v>
      </c>
      <c r="B1196" s="3">
        <v>30</v>
      </c>
      <c r="C1196" s="11" t="s">
        <v>1564</v>
      </c>
      <c r="D1196" s="3">
        <v>-0.75</v>
      </c>
      <c r="E1196" s="3">
        <v>-0.55000000000000004</v>
      </c>
      <c r="F1196" s="3" t="s">
        <v>8</v>
      </c>
      <c r="G1196" s="3">
        <v>4</v>
      </c>
      <c r="H1196" s="3">
        <v>4</v>
      </c>
    </row>
    <row r="1197" spans="1:8" ht="14" x14ac:dyDescent="0.3">
      <c r="A1197" s="3">
        <f>IF(B1196=1, MAX(A$7:A1196)+1, A1196)</f>
        <v>63</v>
      </c>
      <c r="B1197" s="3">
        <v>31</v>
      </c>
      <c r="C1197" s="11" t="s">
        <v>1565</v>
      </c>
      <c r="D1197" s="3">
        <v>-0.751</v>
      </c>
      <c r="E1197" s="3">
        <v>-0.55100000000000005</v>
      </c>
      <c r="F1197" s="3" t="s">
        <v>8</v>
      </c>
      <c r="G1197" s="3">
        <v>4</v>
      </c>
      <c r="H1197" s="3">
        <v>4</v>
      </c>
    </row>
    <row r="1198" spans="1:8" ht="14" x14ac:dyDescent="0.3">
      <c r="A1198" s="3">
        <f>IF(B1197=1, MAX(A$7:A1197)+1, A1197)</f>
        <v>63</v>
      </c>
      <c r="B1198" s="3">
        <v>32</v>
      </c>
      <c r="C1198" s="11" t="s">
        <v>1566</v>
      </c>
      <c r="D1198" s="3">
        <v>-0.71499999999999997</v>
      </c>
      <c r="E1198" s="3">
        <v>-0.51500000000000001</v>
      </c>
      <c r="F1198" s="3" t="s">
        <v>8</v>
      </c>
      <c r="G1198" s="3">
        <v>4</v>
      </c>
      <c r="H1198" s="3">
        <v>4</v>
      </c>
    </row>
    <row r="1199" spans="1:8" ht="14" x14ac:dyDescent="0.3">
      <c r="A1199" s="3">
        <f>IF(B1198=1, MAX(A$7:A1198)+1, A1198)</f>
        <v>63</v>
      </c>
      <c r="B1199" s="3">
        <v>33</v>
      </c>
      <c r="C1199" s="11" t="s">
        <v>1567</v>
      </c>
      <c r="D1199" s="3">
        <v>-0.71599999999999997</v>
      </c>
      <c r="E1199" s="3">
        <v>-0.51600000000000001</v>
      </c>
      <c r="F1199" s="3" t="s">
        <v>8</v>
      </c>
      <c r="G1199" s="3">
        <v>4</v>
      </c>
      <c r="H1199" s="3">
        <v>4</v>
      </c>
    </row>
    <row r="1200" spans="1:8" ht="14" x14ac:dyDescent="0.3">
      <c r="A1200" s="3">
        <f>IF(B1199=1, MAX(A$7:A1199)+1, A1199)</f>
        <v>63</v>
      </c>
      <c r="B1200" s="3">
        <v>34</v>
      </c>
      <c r="C1200" s="11" t="s">
        <v>1568</v>
      </c>
      <c r="D1200" s="3">
        <v>-0.75</v>
      </c>
      <c r="E1200" s="3">
        <v>-0.55000000000000004</v>
      </c>
      <c r="F1200" s="3" t="s">
        <v>8</v>
      </c>
      <c r="G1200" s="3">
        <v>4</v>
      </c>
      <c r="H1200" s="3">
        <v>4</v>
      </c>
    </row>
    <row r="1201" spans="1:8" ht="14" x14ac:dyDescent="0.3">
      <c r="A1201" s="3">
        <f>IF(B1200=1, MAX(A$7:A1200)+1, A1200)</f>
        <v>63</v>
      </c>
      <c r="B1201" s="3">
        <v>35</v>
      </c>
      <c r="C1201" s="11" t="s">
        <v>1569</v>
      </c>
      <c r="D1201" s="3">
        <v>-0.68400000000000005</v>
      </c>
      <c r="E1201" s="3">
        <v>-0.48399999999999999</v>
      </c>
      <c r="F1201" s="3" t="s">
        <v>8</v>
      </c>
      <c r="G1201" s="3">
        <v>4</v>
      </c>
      <c r="H1201" s="3">
        <v>4</v>
      </c>
    </row>
    <row r="1202" spans="1:8" ht="14" x14ac:dyDescent="0.3">
      <c r="A1202" s="3">
        <f>IF(B1201=1, MAX(A$7:A1201)+1, A1201)</f>
        <v>63</v>
      </c>
      <c r="B1202" s="3">
        <v>36</v>
      </c>
      <c r="C1202" s="11" t="s">
        <v>1570</v>
      </c>
      <c r="D1202" s="3">
        <v>-0.72199999999999998</v>
      </c>
      <c r="E1202" s="3">
        <v>-0.52200000000000002</v>
      </c>
      <c r="F1202" s="3" t="s">
        <v>8</v>
      </c>
      <c r="G1202" s="3">
        <v>4</v>
      </c>
      <c r="H1202" s="3">
        <v>4</v>
      </c>
    </row>
    <row r="1203" spans="1:8" ht="14" x14ac:dyDescent="0.3">
      <c r="A1203" s="3">
        <f>IF(B1202=1, MAX(A$7:A1202)+1, A1202)</f>
        <v>63</v>
      </c>
      <c r="B1203" s="3">
        <v>37</v>
      </c>
      <c r="C1203" s="11" t="s">
        <v>1571</v>
      </c>
      <c r="D1203" s="3">
        <v>-0.68799999999999994</v>
      </c>
      <c r="E1203" s="3">
        <v>-0.48799999999999999</v>
      </c>
      <c r="F1203" s="3" t="s">
        <v>8</v>
      </c>
      <c r="G1203" s="3">
        <v>4</v>
      </c>
      <c r="H1203" s="3">
        <v>4</v>
      </c>
    </row>
    <row r="1204" spans="1:8" ht="14" x14ac:dyDescent="0.3">
      <c r="A1204" s="3">
        <f>IF(B1203=1, MAX(A$7:A1203)+1, A1203)</f>
        <v>63</v>
      </c>
      <c r="B1204" s="3">
        <v>38</v>
      </c>
      <c r="C1204" s="11" t="s">
        <v>1572</v>
      </c>
      <c r="D1204" s="3">
        <v>-0.72399999999999998</v>
      </c>
      <c r="E1204" s="3">
        <v>-0.52400000000000002</v>
      </c>
      <c r="F1204" s="3" t="s">
        <v>8</v>
      </c>
      <c r="G1204" s="3">
        <v>4</v>
      </c>
      <c r="H1204" s="3">
        <v>4</v>
      </c>
    </row>
    <row r="1205" spans="1:8" ht="14" x14ac:dyDescent="0.3">
      <c r="A1205" s="3">
        <f>IF(B1204=1, MAX(A$7:A1204)+1, A1204)</f>
        <v>63</v>
      </c>
      <c r="B1205" s="3">
        <v>39</v>
      </c>
      <c r="C1205" s="11" t="s">
        <v>1573</v>
      </c>
      <c r="D1205" s="3">
        <v>-0.61</v>
      </c>
      <c r="E1205" s="3">
        <v>-0.31</v>
      </c>
      <c r="F1205" s="3" t="s">
        <v>8</v>
      </c>
      <c r="G1205" s="3">
        <v>4</v>
      </c>
      <c r="H1205" s="3">
        <v>4</v>
      </c>
    </row>
    <row r="1206" spans="1:8" ht="14" x14ac:dyDescent="0.3">
      <c r="A1206" s="3">
        <f>IF(B1205=1, MAX(A$7:A1205)+1, A1205)</f>
        <v>63</v>
      </c>
      <c r="B1206" s="3">
        <v>40</v>
      </c>
      <c r="C1206" s="11" t="s">
        <v>1574</v>
      </c>
      <c r="D1206" s="3">
        <v>-0.79300000000000004</v>
      </c>
      <c r="E1206" s="3">
        <v>-0.59299999999999997</v>
      </c>
      <c r="F1206" s="3" t="s">
        <v>8</v>
      </c>
      <c r="G1206" s="3">
        <v>4</v>
      </c>
      <c r="H1206" s="3">
        <v>4</v>
      </c>
    </row>
    <row r="1207" spans="1:8" ht="14" x14ac:dyDescent="0.3">
      <c r="A1207" s="3">
        <f>IF(B1206=1, MAX(A$7:A1206)+1, A1206)</f>
        <v>63</v>
      </c>
      <c r="B1207" s="3">
        <v>41</v>
      </c>
      <c r="C1207" s="11" t="s">
        <v>1575</v>
      </c>
      <c r="D1207" s="3">
        <v>-0.74399999999999999</v>
      </c>
      <c r="E1207" s="3">
        <v>-0.54400000000000004</v>
      </c>
      <c r="F1207" s="3" t="s">
        <v>8</v>
      </c>
      <c r="G1207" s="3">
        <v>4</v>
      </c>
      <c r="H1207" s="3">
        <v>4</v>
      </c>
    </row>
    <row r="1208" spans="1:8" ht="14" x14ac:dyDescent="0.3">
      <c r="A1208" s="3">
        <f>IF(B1207=1, MAX(A$7:A1207)+1, A1207)</f>
        <v>63</v>
      </c>
      <c r="B1208" s="3">
        <v>42</v>
      </c>
      <c r="C1208" s="11" t="s">
        <v>1576</v>
      </c>
      <c r="D1208" s="3">
        <v>-0.82</v>
      </c>
      <c r="E1208" s="3">
        <v>-0.62</v>
      </c>
      <c r="F1208" s="3" t="s">
        <v>8</v>
      </c>
      <c r="G1208" s="3">
        <v>4</v>
      </c>
      <c r="H1208" s="3">
        <v>4</v>
      </c>
    </row>
    <row r="1209" spans="1:8" ht="14" x14ac:dyDescent="0.3">
      <c r="A1209" s="3">
        <f>IF(B1208=1, MAX(A$7:A1208)+1, A1208)</f>
        <v>63</v>
      </c>
      <c r="B1209" s="3">
        <v>43</v>
      </c>
      <c r="C1209" s="11" t="s">
        <v>1577</v>
      </c>
      <c r="D1209" s="3">
        <v>-0.63700000000000001</v>
      </c>
      <c r="E1209" s="3">
        <v>-0.437</v>
      </c>
      <c r="F1209" s="3" t="s">
        <v>8</v>
      </c>
      <c r="G1209" s="3">
        <v>4</v>
      </c>
      <c r="H1209" s="3">
        <v>4</v>
      </c>
    </row>
    <row r="1210" spans="1:8" ht="14" x14ac:dyDescent="0.3">
      <c r="A1210" s="3">
        <f>IF(B1209=1, MAX(A$7:A1209)+1, A1209)</f>
        <v>63</v>
      </c>
      <c r="B1210" s="3">
        <v>44</v>
      </c>
      <c r="C1210" s="11" t="s">
        <v>1578</v>
      </c>
      <c r="D1210" s="3">
        <v>-0.64500000000000002</v>
      </c>
      <c r="E1210" s="3">
        <v>-0.44500000000000001</v>
      </c>
      <c r="F1210" s="3" t="s">
        <v>8</v>
      </c>
      <c r="G1210" s="3">
        <v>4</v>
      </c>
      <c r="H1210" s="3">
        <v>4</v>
      </c>
    </row>
    <row r="1211" spans="1:8" ht="14" x14ac:dyDescent="0.3">
      <c r="A1211" s="3">
        <f>IF(B1210=1, MAX(A$7:A1210)+1, A1210)</f>
        <v>63</v>
      </c>
      <c r="B1211" s="3">
        <v>45</v>
      </c>
      <c r="C1211" s="11" t="s">
        <v>1579</v>
      </c>
      <c r="D1211" s="3">
        <v>-0.74099999999999999</v>
      </c>
      <c r="E1211" s="3">
        <v>-0.54100000000000004</v>
      </c>
      <c r="F1211" s="3" t="s">
        <v>8</v>
      </c>
      <c r="G1211" s="3">
        <v>4</v>
      </c>
      <c r="H1211" s="3">
        <v>4</v>
      </c>
    </row>
    <row r="1212" spans="1:8" ht="14" x14ac:dyDescent="0.3">
      <c r="A1212" s="3">
        <f>IF(B1211=1, MAX(A$7:A1211)+1, A1211)</f>
        <v>63</v>
      </c>
      <c r="B1212" s="3">
        <v>46</v>
      </c>
      <c r="C1212" s="11" t="s">
        <v>1580</v>
      </c>
      <c r="D1212" s="3">
        <v>-0.74099999999999999</v>
      </c>
      <c r="E1212" s="3">
        <v>-0.54100000000000004</v>
      </c>
      <c r="F1212" s="3" t="s">
        <v>8</v>
      </c>
      <c r="G1212" s="3">
        <v>4</v>
      </c>
      <c r="H1212" s="3">
        <v>4</v>
      </c>
    </row>
    <row r="1213" spans="1:8" ht="14" x14ac:dyDescent="0.3">
      <c r="A1213" s="3">
        <f>IF(B1212=1, MAX(A$7:A1212)+1, A1212)</f>
        <v>63</v>
      </c>
      <c r="B1213" s="3">
        <v>47</v>
      </c>
      <c r="C1213" s="11" t="s">
        <v>1581</v>
      </c>
      <c r="D1213" s="3">
        <v>-0.74299999999999999</v>
      </c>
      <c r="E1213" s="3">
        <v>-0.54300000000000004</v>
      </c>
      <c r="F1213" s="3" t="s">
        <v>8</v>
      </c>
      <c r="G1213" s="3">
        <v>4</v>
      </c>
      <c r="H1213" s="3">
        <v>4</v>
      </c>
    </row>
    <row r="1214" spans="1:8" ht="14" x14ac:dyDescent="0.3">
      <c r="A1214" s="3">
        <f>IF(B1213=1, MAX(A$7:A1213)+1, A1213)</f>
        <v>63</v>
      </c>
      <c r="B1214" s="3">
        <v>48</v>
      </c>
      <c r="C1214" s="11" t="s">
        <v>1582</v>
      </c>
      <c r="D1214" s="3">
        <v>-0.74099999999999999</v>
      </c>
      <c r="E1214" s="3">
        <v>-0.54100000000000004</v>
      </c>
      <c r="F1214" s="3" t="s">
        <v>8</v>
      </c>
      <c r="G1214" s="3">
        <v>4</v>
      </c>
      <c r="H1214" s="3">
        <v>4</v>
      </c>
    </row>
  </sheetData>
  <mergeCells count="7">
    <mergeCell ref="A5:C5"/>
    <mergeCell ref="D5:H5"/>
    <mergeCell ref="A1:H1"/>
    <mergeCell ref="A2:H2"/>
    <mergeCell ref="A3:H3"/>
    <mergeCell ref="A4:C4"/>
    <mergeCell ref="D4:H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372B-9A53-4080-B4E5-A48DA6A314F0}">
  <dimension ref="A1:G34"/>
  <sheetViews>
    <sheetView workbookViewId="0">
      <selection activeCell="D47" sqref="D47"/>
    </sheetView>
  </sheetViews>
  <sheetFormatPr defaultRowHeight="14" x14ac:dyDescent="0.3"/>
  <cols>
    <col min="1" max="1" width="9.08203125" customWidth="1"/>
    <col min="2" max="3" width="8" customWidth="1"/>
    <col min="4" max="4" width="28.25" bestFit="1" customWidth="1"/>
    <col min="5" max="5" width="25.58203125" customWidth="1"/>
  </cols>
  <sheetData>
    <row r="1" spans="1:7" x14ac:dyDescent="0.3">
      <c r="A1" s="136"/>
      <c r="B1" s="136"/>
      <c r="C1" s="136"/>
      <c r="D1" s="136"/>
      <c r="E1" s="136"/>
    </row>
    <row r="2" spans="1:7" ht="14.5" thickBot="1" x14ac:dyDescent="0.35">
      <c r="A2" s="137" t="s">
        <v>27</v>
      </c>
      <c r="B2" s="137"/>
      <c r="C2" s="137"/>
      <c r="D2" s="137"/>
      <c r="E2" s="137"/>
    </row>
    <row r="3" spans="1:7" s="1" customFormat="1" ht="23.15" customHeight="1" thickBot="1" x14ac:dyDescent="0.35">
      <c r="A3" s="129" t="s">
        <v>1630</v>
      </c>
      <c r="B3" s="130"/>
      <c r="C3" s="130"/>
      <c r="D3" s="130"/>
      <c r="E3" s="131"/>
      <c r="F3" s="8"/>
      <c r="G3" s="8"/>
    </row>
    <row r="4" spans="1:7" x14ac:dyDescent="0.3">
      <c r="A4" s="78" t="s">
        <v>19</v>
      </c>
      <c r="B4" s="79" t="s">
        <v>20</v>
      </c>
      <c r="C4" s="79" t="s">
        <v>21</v>
      </c>
      <c r="D4" s="79" t="s">
        <v>22</v>
      </c>
      <c r="E4" s="80" t="s">
        <v>23</v>
      </c>
    </row>
    <row r="5" spans="1:7" x14ac:dyDescent="0.3">
      <c r="A5" s="83">
        <v>1</v>
      </c>
      <c r="B5" s="83">
        <v>1</v>
      </c>
      <c r="C5" s="54" t="s">
        <v>1656</v>
      </c>
      <c r="D5" s="84" t="s">
        <v>1655</v>
      </c>
      <c r="E5" s="81"/>
    </row>
    <row r="6" spans="1:7" x14ac:dyDescent="0.3">
      <c r="A6" s="83">
        <v>2</v>
      </c>
      <c r="B6" s="83">
        <v>2</v>
      </c>
      <c r="C6" s="54" t="s">
        <v>1656</v>
      </c>
      <c r="D6" s="84" t="s">
        <v>1654</v>
      </c>
      <c r="E6" s="81"/>
    </row>
    <row r="7" spans="1:7" x14ac:dyDescent="0.3">
      <c r="A7" s="62">
        <v>3</v>
      </c>
      <c r="B7" s="62">
        <v>3</v>
      </c>
      <c r="C7" s="3" t="s">
        <v>1657</v>
      </c>
      <c r="D7" s="11" t="s">
        <v>1662</v>
      </c>
      <c r="E7" s="81"/>
    </row>
    <row r="8" spans="1:7" x14ac:dyDescent="0.3">
      <c r="A8" s="62">
        <v>4</v>
      </c>
      <c r="B8" s="62">
        <v>4</v>
      </c>
      <c r="C8" s="3" t="s">
        <v>1657</v>
      </c>
      <c r="D8" s="68" t="s">
        <v>1653</v>
      </c>
      <c r="E8" s="81"/>
    </row>
    <row r="9" spans="1:7" x14ac:dyDescent="0.3">
      <c r="A9" s="62">
        <v>5</v>
      </c>
      <c r="B9" s="62">
        <v>5</v>
      </c>
      <c r="C9" s="3" t="s">
        <v>1657</v>
      </c>
      <c r="D9" s="68" t="s">
        <v>61</v>
      </c>
      <c r="E9" s="81"/>
    </row>
    <row r="10" spans="1:7" x14ac:dyDescent="0.3">
      <c r="A10" s="62">
        <v>6</v>
      </c>
      <c r="B10" s="62">
        <v>6</v>
      </c>
      <c r="C10" s="3" t="s">
        <v>1657</v>
      </c>
      <c r="D10" s="68" t="s">
        <v>43</v>
      </c>
      <c r="E10" s="81"/>
    </row>
    <row r="11" spans="1:7" x14ac:dyDescent="0.3">
      <c r="A11" s="62">
        <v>7</v>
      </c>
      <c r="B11" s="62">
        <v>7</v>
      </c>
      <c r="C11" s="3" t="s">
        <v>1657</v>
      </c>
      <c r="D11" s="68" t="s">
        <v>1631</v>
      </c>
      <c r="E11" s="81"/>
    </row>
    <row r="12" spans="1:7" x14ac:dyDescent="0.3">
      <c r="A12" s="62">
        <v>8</v>
      </c>
      <c r="B12" s="62">
        <v>8</v>
      </c>
      <c r="C12" s="3" t="s">
        <v>1657</v>
      </c>
      <c r="D12" s="68" t="s">
        <v>1632</v>
      </c>
      <c r="E12" s="63"/>
    </row>
    <row r="13" spans="1:7" x14ac:dyDescent="0.3">
      <c r="A13" s="62">
        <v>9</v>
      </c>
      <c r="B13" s="62">
        <v>9</v>
      </c>
      <c r="C13" s="3" t="s">
        <v>1657</v>
      </c>
      <c r="D13" s="68" t="s">
        <v>1633</v>
      </c>
      <c r="E13" s="63"/>
    </row>
    <row r="14" spans="1:7" x14ac:dyDescent="0.3">
      <c r="A14" s="62">
        <v>10</v>
      </c>
      <c r="B14" s="62">
        <v>10</v>
      </c>
      <c r="C14" s="3" t="s">
        <v>1657</v>
      </c>
      <c r="D14" s="68" t="s">
        <v>1634</v>
      </c>
      <c r="E14" s="81"/>
    </row>
    <row r="15" spans="1:7" x14ac:dyDescent="0.3">
      <c r="A15" s="62">
        <v>11</v>
      </c>
      <c r="B15" s="62">
        <v>11</v>
      </c>
      <c r="C15" s="3" t="s">
        <v>1657</v>
      </c>
      <c r="D15" s="68" t="s">
        <v>1635</v>
      </c>
      <c r="E15" s="63"/>
    </row>
    <row r="16" spans="1:7" x14ac:dyDescent="0.3">
      <c r="A16" s="62">
        <v>12</v>
      </c>
      <c r="B16" s="62">
        <v>12</v>
      </c>
      <c r="C16" s="3" t="s">
        <v>1657</v>
      </c>
      <c r="D16" s="68" t="s">
        <v>1636</v>
      </c>
      <c r="E16" s="81"/>
    </row>
    <row r="17" spans="1:5" x14ac:dyDescent="0.3">
      <c r="A17" s="62">
        <v>13</v>
      </c>
      <c r="B17" s="62">
        <v>13</v>
      </c>
      <c r="C17" s="3" t="s">
        <v>1657</v>
      </c>
      <c r="D17" s="68" t="s">
        <v>1637</v>
      </c>
      <c r="E17" s="81"/>
    </row>
    <row r="18" spans="1:5" x14ac:dyDescent="0.3">
      <c r="A18" s="62">
        <v>14</v>
      </c>
      <c r="B18" s="62">
        <v>14</v>
      </c>
      <c r="C18" s="3" t="s">
        <v>1657</v>
      </c>
      <c r="D18" s="68" t="s">
        <v>1638</v>
      </c>
      <c r="E18" s="81"/>
    </row>
    <row r="19" spans="1:5" x14ac:dyDescent="0.3">
      <c r="A19" s="62">
        <v>15</v>
      </c>
      <c r="B19" s="62">
        <v>15</v>
      </c>
      <c r="C19" s="3" t="s">
        <v>1657</v>
      </c>
      <c r="D19" s="68" t="s">
        <v>1639</v>
      </c>
      <c r="E19" s="81"/>
    </row>
    <row r="20" spans="1:5" x14ac:dyDescent="0.3">
      <c r="A20" s="62">
        <v>16</v>
      </c>
      <c r="B20" s="62">
        <v>16</v>
      </c>
      <c r="C20" s="3" t="s">
        <v>1657</v>
      </c>
      <c r="D20" s="68" t="s">
        <v>1640</v>
      </c>
      <c r="E20" s="81"/>
    </row>
    <row r="21" spans="1:5" x14ac:dyDescent="0.3">
      <c r="A21" s="62">
        <v>17</v>
      </c>
      <c r="B21" s="62">
        <v>17</v>
      </c>
      <c r="C21" s="3" t="s">
        <v>1657</v>
      </c>
      <c r="D21" s="68" t="s">
        <v>1641</v>
      </c>
      <c r="E21" s="81"/>
    </row>
    <row r="22" spans="1:5" x14ac:dyDescent="0.3">
      <c r="A22" s="62">
        <v>18</v>
      </c>
      <c r="B22" s="62">
        <v>18</v>
      </c>
      <c r="C22" s="3" t="s">
        <v>1657</v>
      </c>
      <c r="D22" s="68" t="s">
        <v>1642</v>
      </c>
      <c r="E22" s="81"/>
    </row>
    <row r="23" spans="1:5" x14ac:dyDescent="0.3">
      <c r="A23" s="62">
        <v>19</v>
      </c>
      <c r="B23" s="62">
        <v>19</v>
      </c>
      <c r="C23" s="3" t="s">
        <v>1657</v>
      </c>
      <c r="D23" s="68" t="s">
        <v>1643</v>
      </c>
      <c r="E23" s="81"/>
    </row>
    <row r="24" spans="1:5" x14ac:dyDescent="0.3">
      <c r="A24" s="62">
        <v>20</v>
      </c>
      <c r="B24" s="62">
        <v>20</v>
      </c>
      <c r="C24" s="3" t="s">
        <v>1657</v>
      </c>
      <c r="D24" s="68" t="s">
        <v>1644</v>
      </c>
      <c r="E24" s="81"/>
    </row>
    <row r="25" spans="1:5" x14ac:dyDescent="0.3">
      <c r="A25" s="62">
        <v>21</v>
      </c>
      <c r="B25" s="62">
        <v>21</v>
      </c>
      <c r="C25" s="3" t="s">
        <v>1657</v>
      </c>
      <c r="D25" s="68" t="s">
        <v>1645</v>
      </c>
      <c r="E25" s="81"/>
    </row>
    <row r="26" spans="1:5" x14ac:dyDescent="0.3">
      <c r="A26" s="62">
        <v>22</v>
      </c>
      <c r="B26" s="62">
        <v>22</v>
      </c>
      <c r="C26" s="3" t="s">
        <v>1657</v>
      </c>
      <c r="D26" s="68" t="s">
        <v>1646</v>
      </c>
      <c r="E26" s="81"/>
    </row>
    <row r="27" spans="1:5" x14ac:dyDescent="0.3">
      <c r="A27" s="62">
        <v>23</v>
      </c>
      <c r="B27" s="62">
        <v>23</v>
      </c>
      <c r="C27" s="3" t="s">
        <v>1657</v>
      </c>
      <c r="D27" s="68" t="s">
        <v>1647</v>
      </c>
      <c r="E27" s="81"/>
    </row>
    <row r="28" spans="1:5" x14ac:dyDescent="0.3">
      <c r="A28" s="62">
        <v>24</v>
      </c>
      <c r="B28" s="62">
        <v>24</v>
      </c>
      <c r="C28" s="3" t="s">
        <v>1657</v>
      </c>
      <c r="D28" s="68" t="s">
        <v>1648</v>
      </c>
      <c r="E28" s="81"/>
    </row>
    <row r="29" spans="1:5" x14ac:dyDescent="0.3">
      <c r="A29" s="62">
        <v>28</v>
      </c>
      <c r="B29" s="62">
        <v>28</v>
      </c>
      <c r="C29" s="3" t="s">
        <v>1657</v>
      </c>
      <c r="D29" s="68" t="s">
        <v>1649</v>
      </c>
      <c r="E29" s="81"/>
    </row>
    <row r="30" spans="1:5" x14ac:dyDescent="0.3">
      <c r="A30" s="62">
        <v>29</v>
      </c>
      <c r="B30" s="62">
        <v>29</v>
      </c>
      <c r="C30" s="3" t="s">
        <v>1657</v>
      </c>
      <c r="D30" s="68" t="s">
        <v>1650</v>
      </c>
      <c r="E30" s="81"/>
    </row>
    <row r="31" spans="1:5" x14ac:dyDescent="0.3">
      <c r="A31" s="62">
        <v>30</v>
      </c>
      <c r="B31" s="62">
        <v>30</v>
      </c>
      <c r="C31" s="3" t="s">
        <v>1657</v>
      </c>
      <c r="D31" s="68" t="s">
        <v>1651</v>
      </c>
      <c r="E31" s="81"/>
    </row>
    <row r="32" spans="1:5" x14ac:dyDescent="0.3">
      <c r="A32" s="62">
        <v>31</v>
      </c>
      <c r="B32" s="62">
        <v>31</v>
      </c>
      <c r="C32" s="3" t="s">
        <v>1657</v>
      </c>
      <c r="D32" s="68" t="s">
        <v>1652</v>
      </c>
      <c r="E32" s="81"/>
    </row>
    <row r="33" spans="1:5" x14ac:dyDescent="0.3">
      <c r="A33" s="62">
        <v>32</v>
      </c>
      <c r="B33" s="62">
        <v>32</v>
      </c>
      <c r="C33" s="3" t="s">
        <v>1657</v>
      </c>
      <c r="D33" s="68" t="s">
        <v>1661</v>
      </c>
      <c r="E33" s="81"/>
    </row>
    <row r="34" spans="1:5" ht="14.5" thickBot="1" x14ac:dyDescent="0.35">
      <c r="A34" s="64">
        <v>33</v>
      </c>
      <c r="B34" s="64">
        <v>33</v>
      </c>
      <c r="C34" s="52" t="s">
        <v>1657</v>
      </c>
      <c r="D34" s="71" t="s">
        <v>1660</v>
      </c>
      <c r="E34" s="82"/>
    </row>
  </sheetData>
  <mergeCells count="3">
    <mergeCell ref="A1:E1"/>
    <mergeCell ref="A2:E2"/>
    <mergeCell ref="A3:E3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c6a6a7d-81e7-40bb-a1ba-95837d7c95a5">UHYAEUVZP4S6-2102554853-369570</_dlc_DocId>
    <_dlc_DocIdUrl xmlns="6c6a6a7d-81e7-40bb-a1ba-95837d7c95a5">
      <Url>https://mshalomicro.sharepoint.cn/_layouts/15/DocIdRedir.aspx?ID=UHYAEUVZP4S6-2102554853-369570</Url>
      <Description>UHYAEUVZP4S6-2102554853-369570</Description>
    </_dlc_DocIdUrl>
    <Updatetime xmlns="7510173e-9600-43c3-b8a2-4fda9f6f9d26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E8E4026A7B0E449B222F47BF4FE4D15" ma:contentTypeVersion="4" ma:contentTypeDescription="新建文档。" ma:contentTypeScope="" ma:versionID="4d8dcb850312b0164544b535bdbd8540">
  <xsd:schema xmlns:xsd="http://www.w3.org/2001/XMLSchema" xmlns:xs="http://www.w3.org/2001/XMLSchema" xmlns:p="http://schemas.microsoft.com/office/2006/metadata/properties" xmlns:ns2="6c6a6a7d-81e7-40bb-a1ba-95837d7c95a5" xmlns:ns3="7510173e-9600-43c3-b8a2-4fda9f6f9d26" targetNamespace="http://schemas.microsoft.com/office/2006/metadata/properties" ma:root="true" ma:fieldsID="f2723a032aa4c6e75b1051484b5ab524" ns2:_="" ns3:_="">
    <xsd:import namespace="6c6a6a7d-81e7-40bb-a1ba-95837d7c95a5"/>
    <xsd:import namespace="7510173e-9600-43c3-b8a2-4fda9f6f9d2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Up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6a6a7d-81e7-40bb-a1ba-95837d7c95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文档 ID 值" ma:description="分配至此项的文档 ID 值。" ma:internalName="_dlc_DocId" ma:readOnly="true">
      <xsd:simpleType>
        <xsd:restriction base="dms:Text"/>
      </xsd:simpleType>
    </xsd:element>
    <xsd:element name="_dlc_DocIdUrl" ma:index="11" nillable="true" ma:displayName="文档 ID" ma:description="此文档的永久链接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0173e-9600-43c3-b8a2-4fda9f6f9d26" elementFormDefault="qualified">
    <xsd:import namespace="http://schemas.microsoft.com/office/2006/documentManagement/types"/>
    <xsd:import namespace="http://schemas.microsoft.com/office/infopath/2007/PartnerControls"/>
    <xsd:element name="Updatetime" ma:index="14" nillable="true" ma:displayName="Update time" ma:format="DateOnly" ma:internalName="Up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569282-54F2-42F1-A2AF-907BC00026A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CCBFD1D-8F15-4EAD-995B-4F24356F8F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19A829-8ED9-4DD6-8708-88EF9951A521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6c6a6a7d-81e7-40bb-a1ba-95837d7c95a5"/>
    <ds:schemaRef ds:uri="http://schemas.microsoft.com/office/2006/metadata/properties"/>
    <ds:schemaRef ds:uri="http://www.w3.org/XML/1998/namespace"/>
    <ds:schemaRef ds:uri="7510173e-9600-43c3-b8a2-4fda9f6f9d26"/>
  </ds:schemaRefs>
</ds:datastoreItem>
</file>

<file path=customXml/itemProps4.xml><?xml version="1.0" encoding="utf-8"?>
<ds:datastoreItem xmlns:ds="http://schemas.openxmlformats.org/officeDocument/2006/customXml" ds:itemID="{E1A977D4-6537-427D-9293-996F5CBF47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6a6a7d-81e7-40bb-a1ba-95837d7c95a5"/>
    <ds:schemaRef ds:uri="7510173e-9600-43c3-b8a2-4fda9f6f9d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8da4d7a-cc55-4e03-886e-bfde64a9167d}" enabled="0" method="" siteId="{18da4d7a-cc55-4e03-886e-bfde64a916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Revision History</vt:lpstr>
      <vt:lpstr>Datasheet vs Test Item</vt:lpstr>
      <vt:lpstr>Test Item</vt:lpstr>
      <vt:lpstr>Bin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2026-06-02T06:22:43Z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0x0101003E8E4026A7B0E449B222F47BF4FE4D15</vt:lpwstr>
  </property>
  <property fmtid="{D5CDD505-2E9C-101B-9397-08002B2CF9AE}" pid="3" name="_dlc_DocIdItemGuid">
    <vt:lpwstr>002d6069-433e-4355-ba8c-d41ed4349e21</vt:lpwstr>
  </property>
</Properties>
</file>